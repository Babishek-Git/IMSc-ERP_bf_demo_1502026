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128"/>
  <workbookPr filterPrivacy="1" defaultThemeVersion="124226"/>
  <xr:revisionPtr revIDLastSave="1" documentId="8_{07E10401-B953-4247-8F1C-839B47EF739F}" xr6:coauthVersionLast="47" xr6:coauthVersionMax="47" xr10:uidLastSave="{34A8CA2B-7A58-4ABA-A58D-050500FF5707}"/>
  <bookViews>
    <workbookView xWindow="-108" yWindow="-108" windowWidth="23256" windowHeight="12456" activeTab="1" xr2:uid="{00000000-000D-0000-FFFF-FFFF00000000}"/>
  </bookViews>
  <sheets>
    <sheet name="LTECH" sheetId="2" r:id="rId1"/>
    <sheet name="DEPT" sheetId="3" r:id="rId2"/>
    <sheet name="A" sheetId="5" r:id="rId3"/>
    <sheet name="B" sheetId="6" r:id="rId4"/>
    <sheet name="C" sheetId="7" r:id="rId5"/>
    <sheet name="SOQ" sheetId="4" r:id="rId6"/>
    <sheet name="SOQGEN" sheetId="8" r:id="rId7"/>
    <sheet name="SOQSTEEL" sheetId="9" r:id="rId8"/>
  </sheets>
  <definedNames>
    <definedName name="_xlnm.Print_Area" localSheetId="5">SOQ!$A$1:$I$17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8" i="8" l="1"/>
  <c r="F10" i="7" l="1"/>
  <c r="F10" i="6"/>
  <c r="F10" i="5"/>
  <c r="F10" i="2" l="1"/>
  <c r="H8" i="4" l="1"/>
  <c r="F10" i="3" l="1"/>
</calcChain>
</file>

<file path=xl/sharedStrings.xml><?xml version="1.0" encoding="utf-8"?>
<sst xmlns="http://schemas.openxmlformats.org/spreadsheetml/2006/main" count="204" uniqueCount="52">
  <si>
    <t>S.No</t>
  </si>
  <si>
    <t>Description of  work</t>
  </si>
  <si>
    <t>Unit</t>
  </si>
  <si>
    <t>Qty</t>
  </si>
  <si>
    <t>Development of modules Running Bill and Final Bill, Secured Advance, Escalation verification and Mobilisation advance, EMD and PSD reports and registers modules  for Accounts Section and Secured Advance preparation modules  for the composite work of Civil, Electrical and Mechanical, MHE, ACV Section and other users and Budget preparation modules for FRFCF, NRB</t>
  </si>
  <si>
    <r>
      <t xml:space="preserve">System study, design, development, testing and implementation of  Running Bill and Final Bill zone wise/Non zone wise verification of </t>
    </r>
    <r>
      <rPr>
        <b/>
        <sz val="12"/>
        <color theme="1"/>
        <rFont val="Times New Roman"/>
        <family val="1"/>
      </rPr>
      <t>General Measurement Book</t>
    </r>
    <r>
      <rPr>
        <sz val="12"/>
        <color theme="1"/>
        <rFont val="Times New Roman"/>
        <family val="1"/>
      </rPr>
      <t xml:space="preserve"> modules  for Accounts Section  for the composite work of Civil, Electrical and Mechanical, MHE, ACV Section with the following facilities to Dealing Assistant will verify and forward to Accountant with / without comment. After Accountant verification, it will be forwarded to Assistant Accounts officer for verification with / without comment or return back to Dealing Assistant with comment. Up to some limited cost of approval, AAO has a power to sanction the bill. Above from his/her limited cost of approval it will be forwarded to Accounts officer for verification with / without comment or return back to Accountant with comment. Up to some limited cost of approval, AO has a power to sanction the bill. Above from his/her limited cost of approval it will be forwarded to DCA for verification with / without comment or return back to Assistant Accounts Officer with comment as per the direction of Accounts Section. Modules will be developed for Bill register entry form to register the RAB/Final Bill details to Accounts section.</t>
    </r>
  </si>
  <si>
    <t>Each</t>
  </si>
  <si>
    <r>
      <t xml:space="preserve">System study, design, development, testing and implementation of  Running Bill and Final Bill  zone wise / Non zone wise verification of </t>
    </r>
    <r>
      <rPr>
        <b/>
        <sz val="12"/>
        <color theme="1"/>
        <rFont val="Times New Roman"/>
        <family val="1"/>
      </rPr>
      <t>Steel Measurement Book</t>
    </r>
    <r>
      <rPr>
        <sz val="12"/>
        <color theme="1"/>
        <rFont val="Times New Roman"/>
        <family val="1"/>
      </rPr>
      <t xml:space="preserve"> modules for Accounts Section  for the composite work of Civil, Electrical and Mechanical, MHE, ACV Section with the following facilities to Dealing Assistant will verify and forward to Accountant with / without comment. After Accountant verification, it will be forwarded to Assistant Accounts officer for verification with / without comment or return back to Dealing Assistant with comment. Up to some limited cost of approval, AAO has a power to sanction the bill. Above from his/her limited cost of approval it will be forwarded to Accounts officer for verification with / without comment or return back to Accountant with comment. Up to some limited cost of approval, AO has a power to sanction the bill. Above from his/her limited cost of approval it will be forwarded to DCA for verification with / without comment or return back to Assistant Accounts Officer with comment as per the direction of Accounts Section.</t>
    </r>
  </si>
  <si>
    <r>
      <t xml:space="preserve">System study, design, development, testing and implementation of  Running Bill and Final Bill  zone wise / Non zone wise verification of </t>
    </r>
    <r>
      <rPr>
        <b/>
        <sz val="12"/>
        <color theme="1"/>
        <rFont val="Times New Roman"/>
        <family val="1"/>
      </rPr>
      <t>Sub Abstract Measurement Book</t>
    </r>
    <r>
      <rPr>
        <sz val="12"/>
        <color theme="1"/>
        <rFont val="Times New Roman"/>
        <family val="1"/>
      </rPr>
      <t xml:space="preserve"> modules for Accounts Section  for the composite work of Civil, Electrical and Mechanical, MHE, ACV Section with the following facilities to Dealing Assistant will verify and forward to Accountant with / without comment. After Accountant verification, it will be forwarded to Assistant Accounts officer for verification with / without comment or return back to Dealing Assistant with comment.</t>
    </r>
    <r>
      <rPr>
        <sz val="12"/>
        <color rgb="FFFF0000"/>
        <rFont val="Times New Roman"/>
        <family val="1"/>
      </rPr>
      <t xml:space="preserve"> </t>
    </r>
    <r>
      <rPr>
        <sz val="12"/>
        <color theme="1"/>
        <rFont val="Times New Roman"/>
        <family val="1"/>
      </rPr>
      <t>Up to some limited cost of approval, AAO has a power to sanction the bill. Above from his/her limited cost of approval it will be forwarded to Accounts officer for verification with / without comment or return back to Accountant with comment. Up to some limited cost of approval, AO has a power to sanction the bill. Above from his/her limited cost of approval it will be forwarded to DCA for verification with / without comment or return back to Assistant Accounts Officer with comment as per the direction of Accounts Section.</t>
    </r>
  </si>
  <si>
    <r>
      <t xml:space="preserve">System study, design, development, testing and implementation of  Running Bill and Final Bill  zone wise / Non zone wise verification of </t>
    </r>
    <r>
      <rPr>
        <b/>
        <sz val="12"/>
        <color theme="1"/>
        <rFont val="Times New Roman"/>
        <family val="1"/>
      </rPr>
      <t>Abstract Measurement Book</t>
    </r>
    <r>
      <rPr>
        <sz val="12"/>
        <color theme="1"/>
        <rFont val="Times New Roman"/>
        <family val="1"/>
      </rPr>
      <t xml:space="preserve"> modules for Accounts Section  for the composite work of Civil, Electrical and Mechanical, MHE, ACV Section with the following facilities to Dealing Assistant will verify and forward to Accountant with / without comment. After Accountant verification, it will be forwarded to Assistant Accounts officer for verification with / without comment or return back to Dealing Assistant with comment. Up to some limited cost of approval, AAO has a power to sanction the bill. Above from his/her limited cost of approval it will be forwarded to Accounts officer for verification with / without comment or return back to Accountant with comment. Up to some limited cost of approval, AO has a power to sanction the bill. Above from his/her limited cost of approval it will be forwarded to DCA for verification with / without comment or return back to Assistant Accounts Officer with comment as per the direction of Accounts Section.</t>
    </r>
  </si>
  <si>
    <r>
      <t xml:space="preserve">System study, design, development, testing and implementation of modules for </t>
    </r>
    <r>
      <rPr>
        <b/>
        <sz val="12"/>
        <color rgb="FF000000"/>
        <rFont val="Times New Roman"/>
        <family val="1"/>
      </rPr>
      <t>Secured Advance</t>
    </r>
    <r>
      <rPr>
        <sz val="12"/>
        <color rgb="FF000000"/>
        <rFont val="Times New Roman"/>
        <family val="1"/>
      </rPr>
      <t xml:space="preserve"> (SA) with or </t>
    </r>
    <r>
      <rPr>
        <sz val="12"/>
        <color theme="1"/>
        <rFont val="Cambria"/>
        <family val="1"/>
      </rPr>
      <t>Without RAB / Zero measurements</t>
    </r>
    <r>
      <rPr>
        <sz val="12"/>
        <color rgb="FF000000"/>
        <rFont val="Times New Roman"/>
        <family val="1"/>
      </rPr>
      <t xml:space="preserve"> for Civil, Electrical and Mechanical, MHE, ACV </t>
    </r>
    <r>
      <rPr>
        <b/>
        <sz val="12"/>
        <color rgb="FF000000"/>
        <rFont val="Times New Roman"/>
        <family val="1"/>
      </rPr>
      <t>Section Users</t>
    </r>
    <r>
      <rPr>
        <sz val="12"/>
        <color rgb="FF000000"/>
        <rFont val="Times New Roman"/>
        <family val="1"/>
      </rPr>
      <t xml:space="preserve"> with the following facilities module shall give to enter the materials brought to site with invoice no. and invoice date and to create the account of secured advance allowed on the materials brought to site, a module shall give to select the item no. and to enter the quantity brought to site since previous bill and reduced rate at which advance is made and provision make for modifying current quantity for recovery to account for wastage and with provision for adjusting final quantity of recovery and Adjustment entry field in SA module to account quantity of SA items for which advance is not given but items are brought to site and used over and above already advanced quantity. Provision shall give in SA module to account for change in material rate at various months as per the direction of Engineer in Charge.</t>
    </r>
  </si>
  <si>
    <r>
      <t xml:space="preserve">System study, design, development, testing and implementation of  </t>
    </r>
    <r>
      <rPr>
        <b/>
        <sz val="12"/>
        <color theme="1"/>
        <rFont val="Times New Roman"/>
        <family val="1"/>
      </rPr>
      <t>Secured Advance</t>
    </r>
    <r>
      <rPr>
        <sz val="12"/>
        <color theme="1"/>
        <rFont val="Times New Roman"/>
        <family val="1"/>
      </rPr>
      <t xml:space="preserve"> modules for </t>
    </r>
    <r>
      <rPr>
        <b/>
        <sz val="12"/>
        <color theme="1"/>
        <rFont val="Times New Roman"/>
        <family val="1"/>
      </rPr>
      <t>Accounts Section</t>
    </r>
    <r>
      <rPr>
        <sz val="12"/>
        <color theme="1"/>
        <rFont val="Times New Roman"/>
        <family val="1"/>
      </rPr>
      <t xml:space="preserve"> with or without  Running Bill verification for the composite work of Civil, Electrical and Mechanical, MHE, ACV Section with the following facilities to Dealing Assistant will verify and forward to Accountant with / without comment. After Accountant verification, it will be forwarded to Assistant Accounts officer for verification with / without comment or return back to Dealing Assistant with comment. Up to some limited cost of approval, AAO has a power to sanction the bill. Above from his/her limited cost of approval it will be forwarded to Accounts officer for verification with / without comment or return back to Accountant with comment. Up to some limited cost of approval, AO has a power to sanction the bill. Above from his/her limited cost of approval it will be forwarded to DCA for verification with / without comment or return back to Assistant Accounts Officer with comment as per the direction of Accounts Section.</t>
    </r>
  </si>
  <si>
    <r>
      <t xml:space="preserve">System study, design, development, testing and implementation of  </t>
    </r>
    <r>
      <rPr>
        <b/>
        <sz val="12"/>
        <color theme="1"/>
        <rFont val="Times New Roman"/>
        <family val="1"/>
      </rPr>
      <t>Escalation</t>
    </r>
    <r>
      <rPr>
        <sz val="12"/>
        <color theme="1"/>
        <rFont val="Times New Roman"/>
        <family val="1"/>
      </rPr>
      <t xml:space="preserve"> modules for Accounts Section with or without  Running Bill verification for the composite work of Civil, Electrical and Mechanical, MHE, ACV Section with the following facilities to Dealing Assistant will verify and forward to Accountant with / without comment. After Accountant verification, it will be forwarded to Assistant Accounts officer for verification with / without comment or return back to Dealing Assistant with comment. Up to some limited cost of approval, AAO has a power to sanction the bill. Above from his/her limited cost of approval it will be forwarded to Accounts officer for verification with / without comment or return back to Accountant with comment. Up to some limited cost of approval, AO has a power to sanction the bill. Above from his/her limited cost of approval it will be forwarded to DCA for verification with / without comment or return back to Assistant Accounts Officer with comment as per the direction of Accounts Section.</t>
    </r>
  </si>
  <si>
    <t>Total (Rs.) with GST</t>
  </si>
  <si>
    <t>Amount  Rs.</t>
  </si>
  <si>
    <t>Rate  Rs.</t>
  </si>
  <si>
    <t>Name of work:</t>
  </si>
  <si>
    <t>Technical Sanction No.</t>
  </si>
  <si>
    <t>Name of the contractor</t>
  </si>
  <si>
    <t>Agreement No.</t>
  </si>
  <si>
    <t xml:space="preserve">Work Order No. </t>
  </si>
  <si>
    <t>Running Account bill No.</t>
  </si>
  <si>
    <t>Date</t>
  </si>
  <si>
    <t>Item</t>
  </si>
  <si>
    <t xml:space="preserve">Description </t>
  </si>
  <si>
    <t>No.</t>
  </si>
  <si>
    <t>L.</t>
  </si>
  <si>
    <t>B.</t>
  </si>
  <si>
    <t>D.</t>
  </si>
  <si>
    <t>Contents or 
Area</t>
  </si>
  <si>
    <t>1st RA</t>
  </si>
  <si>
    <t>Development and implementation of network monitoring system in LTC.</t>
  </si>
  <si>
    <t>LT/TS/COMP/2021/2195</t>
  </si>
  <si>
    <t>MSQUAARE ENTERPRISES</t>
  </si>
  <si>
    <t>LT/AGMT/2021/2195</t>
  </si>
  <si>
    <t>LT/WO/2021/2195</t>
  </si>
  <si>
    <t>19.03.2021</t>
  </si>
  <si>
    <t>27.08.2021</t>
  </si>
  <si>
    <t>17.05.2021</t>
  </si>
  <si>
    <t>21.11.2021</t>
  </si>
  <si>
    <t>29.01.2022</t>
  </si>
  <si>
    <t>BOQ</t>
  </si>
  <si>
    <t>Description of Work</t>
  </si>
  <si>
    <t>Dia of rod [mm]</t>
  </si>
  <si>
    <t>Nos</t>
  </si>
  <si>
    <t>Nos.</t>
  </si>
  <si>
    <t>Length in Metres</t>
  </si>
  <si>
    <t>04.10.2021</t>
  </si>
  <si>
    <t>PB-3 Main rod bottom</t>
  </si>
  <si>
    <t>PB-3 Main rod bottom lap</t>
  </si>
  <si>
    <t>07.10.2021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</si>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</sst>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00"/>
  </numFmts>
  <fonts count="23" x14ac:knownFonts="1">
    <font>
      <sz val="11"/>
      <color theme="1"/>
      <name val="Calibri"/>
      <family val="2"/>
      <scheme val="minor"/>
    </font>
    <font>
      <sz val="12"/>
      <color theme="1"/>
      <name val="Times New Roman"/>
      <family val="1"/>
    </font>
    <font>
      <b/>
      <sz val="12"/>
      <color theme="1"/>
      <name val="Times New Roman"/>
      <family val="1"/>
    </font>
    <font>
      <sz val="12"/>
      <color rgb="FFFF0000"/>
      <name val="Times New Roman"/>
      <family val="1"/>
    </font>
    <font>
      <sz val="12"/>
      <color rgb="FF000000"/>
      <name val="Times New Roman"/>
      <family val="1"/>
    </font>
    <font>
      <b/>
      <sz val="12"/>
      <color rgb="FF000000"/>
      <name val="Times New Roman"/>
      <family val="1"/>
    </font>
    <font>
      <sz val="12"/>
      <color theme="1"/>
      <name val="Cambria"/>
      <family val="1"/>
    </font>
    <font>
      <b/>
      <i/>
      <sz val="10"/>
      <color indexed="8"/>
      <name val="Arial"/>
      <family val="2"/>
    </font>
    <font>
      <b/>
      <sz val="10"/>
      <color indexed="8"/>
      <name val="Arial"/>
      <family val="2"/>
    </font>
    <font>
      <sz val="9"/>
      <color indexed="8"/>
      <name val="Arial"/>
      <family val="2"/>
    </font>
    <font>
      <b/>
      <sz val="10"/>
      <name val="Arial"/>
      <family val="2"/>
    </font>
    <font>
      <b/>
      <i/>
      <sz val="9"/>
      <color indexed="8"/>
      <name val="Arial"/>
      <family val="2"/>
    </font>
    <font>
      <b/>
      <sz val="9"/>
      <name val="Arial"/>
      <family val="2"/>
    </font>
    <font>
      <b/>
      <sz val="7"/>
      <color indexed="8"/>
      <name val="Arial"/>
      <family val="2"/>
    </font>
    <font>
      <b/>
      <sz val="9"/>
      <name val="Bookman Old Style"/>
      <family val="1"/>
    </font>
    <font>
      <sz val="10"/>
      <name val="Bookman Old Style"/>
      <family val="1"/>
    </font>
    <font>
      <sz val="9"/>
      <name val="Arial"/>
      <family val="2"/>
    </font>
    <font>
      <sz val="11"/>
      <color indexed="8"/>
      <name val="Arial"/>
      <family val="2"/>
    </font>
    <font>
      <sz val="36"/>
      <color rgb="FFFF0000"/>
      <name val="Arial"/>
      <family val="2"/>
    </font>
    <font>
      <b/>
      <sz val="9"/>
      <color indexed="8"/>
      <name val="Arial"/>
      <family val="2"/>
    </font>
    <font>
      <sz val="11"/>
      <name val="Arial"/>
      <family val="2"/>
    </font>
    <font>
      <sz val="11"/>
      <name val="Verdana"/>
      <family val="2"/>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2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9" tint="0.39994506668294322"/>
      </left>
      <right style="thin">
        <color theme="9" tint="0.39994506668294322"/>
      </right>
      <top style="thin">
        <color theme="9" tint="0.39994506668294322"/>
      </top>
      <bottom style="thin">
        <color theme="9" tint="0.399945066682943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style="hair">
        <color indexed="64"/>
      </left>
      <right/>
      <top/>
      <bottom style="hair">
        <color indexed="64"/>
      </bottom>
      <diagonal/>
    </border>
  </borders>
  <cellStyleXfs count="1">
    <xf numFmtId="0" fontId="0" fillId="0" borderId="0"/>
  </cellStyleXfs>
  <cellXfs count="105">
    <xf numFmtId="0" fontId="0" fillId="0" borderId="0" xfId="0"/>
    <xf numFmtId="0" fontId="1" fillId="0" borderId="1" xfId="0" applyFont="1" applyBorder="1" applyAlignment="1">
      <alignment vertical="center"/>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wrapText="1"/>
    </xf>
    <xf numFmtId="0" fontId="1" fillId="0" borderId="6" xfId="0" applyFont="1" applyBorder="1" applyAlignment="1">
      <alignment horizontal="right"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0" xfId="0" applyFont="1" applyBorder="1" applyAlignment="1">
      <alignment horizontal="right" vertical="center" wrapText="1"/>
    </xf>
    <xf numFmtId="0" fontId="1" fillId="0" borderId="9" xfId="0" applyFont="1" applyBorder="1" applyAlignment="1">
      <alignment horizontal="center" vertical="center" wrapText="1"/>
    </xf>
    <xf numFmtId="0" fontId="1" fillId="0" borderId="11" xfId="0" applyFont="1" applyBorder="1" applyAlignment="1">
      <alignment horizontal="right" vertical="center" wrapText="1"/>
    </xf>
    <xf numFmtId="0" fontId="1" fillId="0" borderId="4" xfId="0" applyFont="1" applyBorder="1" applyAlignment="1">
      <alignment horizontal="justify" vertical="center" wrapText="1"/>
    </xf>
    <xf numFmtId="0" fontId="0" fillId="0" borderId="0" xfId="0" applyAlignment="1">
      <alignment wrapText="1"/>
    </xf>
    <xf numFmtId="0" fontId="1" fillId="0" borderId="7" xfId="0" applyFont="1" applyBorder="1" applyAlignment="1">
      <alignment vertical="center" wrapText="1"/>
    </xf>
    <xf numFmtId="0" fontId="4" fillId="0" borderId="7" xfId="0" applyFont="1" applyBorder="1" applyAlignment="1">
      <alignment vertical="center" wrapText="1"/>
    </xf>
    <xf numFmtId="0" fontId="1" fillId="0" borderId="1" xfId="0" applyFont="1" applyBorder="1" applyAlignment="1">
      <alignment vertical="center" wrapText="1"/>
    </xf>
    <xf numFmtId="0" fontId="1" fillId="0" borderId="3" xfId="0" applyFont="1" applyBorder="1" applyAlignment="1">
      <alignment vertical="center" wrapText="1"/>
    </xf>
    <xf numFmtId="0" fontId="1" fillId="0" borderId="7" xfId="0" applyFont="1" applyBorder="1" applyAlignment="1">
      <alignment horizontal="right" vertical="center" wrapText="1"/>
    </xf>
    <xf numFmtId="14" fontId="7" fillId="0" borderId="12" xfId="0" applyNumberFormat="1" applyFont="1" applyBorder="1" applyAlignment="1">
      <alignment vertical="center" wrapText="1"/>
    </xf>
    <xf numFmtId="0" fontId="9" fillId="0" borderId="0" xfId="0" applyFont="1" applyAlignment="1">
      <alignment vertical="center" wrapText="1"/>
    </xf>
    <xf numFmtId="14" fontId="11" fillId="0" borderId="15" xfId="0" applyNumberFormat="1" applyFont="1" applyBorder="1" applyAlignment="1">
      <alignment vertical="center" wrapText="1"/>
    </xf>
    <xf numFmtId="164" fontId="8" fillId="0" borderId="18" xfId="0" applyNumberFormat="1" applyFont="1" applyBorder="1" applyAlignment="1">
      <alignment horizontal="center" vertical="center" wrapText="1"/>
    </xf>
    <xf numFmtId="0" fontId="7" fillId="0" borderId="18" xfId="0" applyFont="1" applyBorder="1" applyAlignment="1">
      <alignment horizontal="center" vertical="center" wrapText="1"/>
    </xf>
    <xf numFmtId="0" fontId="10" fillId="0" borderId="18" xfId="0" applyFont="1" applyBorder="1" applyAlignment="1">
      <alignment horizontal="center" vertical="center" wrapText="1"/>
    </xf>
    <xf numFmtId="2" fontId="10" fillId="0" borderId="18" xfId="0" applyNumberFormat="1" applyFont="1" applyBorder="1" applyAlignment="1">
      <alignment horizontal="center" vertical="center" wrapText="1"/>
    </xf>
    <xf numFmtId="165" fontId="12" fillId="0" borderId="18" xfId="0" applyNumberFormat="1" applyFont="1" applyBorder="1" applyAlignment="1">
      <alignment horizontal="center" vertical="center" wrapText="1"/>
    </xf>
    <xf numFmtId="0" fontId="13" fillId="0" borderId="18" xfId="0" applyFont="1" applyBorder="1" applyAlignment="1">
      <alignment horizontal="center" vertical="center" wrapText="1"/>
    </xf>
    <xf numFmtId="2" fontId="14" fillId="0" borderId="18" xfId="0" applyNumberFormat="1" applyFont="1" applyBorder="1" applyAlignment="1">
      <alignment horizontal="center" vertical="center" wrapText="1"/>
    </xf>
    <xf numFmtId="164" fontId="9" fillId="0" borderId="18" xfId="0" applyNumberFormat="1" applyFont="1" applyBorder="1" applyAlignment="1">
      <alignment horizontal="center" vertical="center" wrapText="1"/>
    </xf>
    <xf numFmtId="165" fontId="15" fillId="0" borderId="18" xfId="0" applyNumberFormat="1" applyFont="1" applyBorder="1" applyAlignment="1">
      <alignment horizontal="left" wrapText="1"/>
    </xf>
    <xf numFmtId="0" fontId="16" fillId="0" borderId="18" xfId="0" applyFont="1" applyBorder="1" applyAlignment="1">
      <alignment horizontal="center" vertical="center" wrapText="1"/>
    </xf>
    <xf numFmtId="165" fontId="16" fillId="0" borderId="18" xfId="0" applyNumberFormat="1" applyFont="1" applyBorder="1" applyAlignment="1">
      <alignment horizontal="center" vertical="center" wrapText="1"/>
    </xf>
    <xf numFmtId="165" fontId="0" fillId="0" borderId="18" xfId="0" applyNumberFormat="1" applyBorder="1" applyAlignment="1">
      <alignment vertical="center"/>
    </xf>
    <xf numFmtId="0" fontId="0" fillId="0" borderId="18" xfId="0" applyBorder="1" applyAlignment="1">
      <alignment vertical="center"/>
    </xf>
    <xf numFmtId="0" fontId="17" fillId="0" borderId="0" xfId="0" applyFont="1" applyAlignment="1">
      <alignment vertical="center" wrapText="1"/>
    </xf>
    <xf numFmtId="0" fontId="18" fillId="0" borderId="0" xfId="0" applyFont="1" applyAlignment="1">
      <alignment vertical="center" wrapText="1"/>
    </xf>
    <xf numFmtId="164" fontId="10" fillId="0" borderId="18" xfId="0" applyNumberFormat="1" applyFont="1" applyBorder="1" applyAlignment="1" applyProtection="1">
      <alignment horizontal="center" vertical="center" wrapText="1"/>
      <protection hidden="1"/>
    </xf>
    <xf numFmtId="164" fontId="19" fillId="0" borderId="18" xfId="0" applyNumberFormat="1" applyFont="1" applyBorder="1" applyAlignment="1">
      <alignment horizontal="right" vertical="center" wrapText="1"/>
    </xf>
    <xf numFmtId="165" fontId="20" fillId="0" borderId="18" xfId="0" applyNumberFormat="1" applyFont="1" applyBorder="1" applyAlignment="1">
      <alignment vertical="center" wrapText="1"/>
    </xf>
    <xf numFmtId="0" fontId="9" fillId="0" borderId="18" xfId="0" applyFont="1" applyBorder="1" applyAlignment="1">
      <alignment vertical="center" wrapText="1"/>
    </xf>
    <xf numFmtId="0" fontId="9" fillId="0" borderId="18" xfId="0" applyFont="1" applyBorder="1" applyAlignment="1">
      <alignment horizontal="center" vertical="center" wrapText="1"/>
    </xf>
    <xf numFmtId="0" fontId="0" fillId="0" borderId="18" xfId="0" applyBorder="1" applyAlignment="1">
      <alignment horizontal="center" vertical="center"/>
    </xf>
    <xf numFmtId="164" fontId="19" fillId="0" borderId="0" xfId="0" applyNumberFormat="1" applyFont="1" applyAlignment="1">
      <alignment horizontal="right" vertical="center" wrapText="1"/>
    </xf>
    <xf numFmtId="0" fontId="16" fillId="0" borderId="0" xfId="0" applyFont="1" applyAlignment="1">
      <alignment horizontal="center" vertical="center" wrapText="1"/>
    </xf>
    <xf numFmtId="0" fontId="16" fillId="0" borderId="0" xfId="0" applyFont="1" applyAlignment="1">
      <alignment vertical="center" wrapText="1"/>
    </xf>
    <xf numFmtId="0" fontId="20" fillId="0" borderId="0" xfId="0" applyFont="1" applyAlignment="1">
      <alignment horizontal="center" vertical="center" wrapText="1"/>
    </xf>
    <xf numFmtId="2" fontId="20" fillId="0" borderId="0" xfId="0" applyNumberFormat="1" applyFont="1" applyAlignment="1">
      <alignment vertical="center" wrapText="1"/>
    </xf>
    <xf numFmtId="165" fontId="20" fillId="0" borderId="0" xfId="0" applyNumberFormat="1" applyFont="1" applyAlignment="1">
      <alignment vertical="center" wrapText="1"/>
    </xf>
    <xf numFmtId="14" fontId="7" fillId="0" borderId="12" xfId="0" applyNumberFormat="1" applyFont="1" applyBorder="1" applyAlignment="1">
      <alignment vertical="center"/>
    </xf>
    <xf numFmtId="0" fontId="9" fillId="0" borderId="0" xfId="0" applyFont="1" applyAlignment="1">
      <alignment vertical="center"/>
    </xf>
    <xf numFmtId="14" fontId="11" fillId="0" borderId="15" xfId="0" applyNumberFormat="1" applyFont="1" applyBorder="1" applyAlignment="1">
      <alignment vertical="center"/>
    </xf>
    <xf numFmtId="164" fontId="8" fillId="0" borderId="18" xfId="0" applyNumberFormat="1" applyFont="1" applyBorder="1" applyAlignment="1">
      <alignment horizontal="center" vertical="center"/>
    </xf>
    <xf numFmtId="0" fontId="7" fillId="0" borderId="18" xfId="0" applyFont="1" applyBorder="1" applyAlignment="1">
      <alignment horizontal="center" vertical="center"/>
    </xf>
    <xf numFmtId="0" fontId="10" fillId="0" borderId="18" xfId="0" applyFont="1" applyBorder="1" applyAlignment="1">
      <alignment horizontal="center" vertical="center"/>
    </xf>
    <xf numFmtId="2" fontId="10" fillId="0" borderId="18" xfId="0" applyNumberFormat="1" applyFont="1" applyBorder="1" applyAlignment="1">
      <alignment horizontal="center" vertical="center"/>
    </xf>
    <xf numFmtId="165" fontId="12" fillId="0" borderId="18" xfId="0" applyNumberFormat="1" applyFont="1" applyBorder="1" applyAlignment="1">
      <alignment horizontal="center" vertical="center"/>
    </xf>
    <xf numFmtId="0" fontId="13" fillId="0" borderId="18" xfId="0" applyFont="1" applyBorder="1" applyAlignment="1">
      <alignment horizontal="center" vertical="center"/>
    </xf>
    <xf numFmtId="2" fontId="14" fillId="0" borderId="18" xfId="0" applyNumberFormat="1" applyFont="1" applyBorder="1" applyAlignment="1">
      <alignment horizontal="center" vertical="center"/>
    </xf>
    <xf numFmtId="0" fontId="1" fillId="0" borderId="4" xfId="0" applyFont="1" applyBorder="1" applyAlignment="1">
      <alignment horizontal="justify" vertical="center"/>
    </xf>
    <xf numFmtId="0" fontId="1" fillId="0" borderId="10" xfId="0" applyFont="1" applyBorder="1" applyAlignment="1">
      <alignment horizontal="center" vertical="center"/>
    </xf>
    <xf numFmtId="165" fontId="16" fillId="0" borderId="18" xfId="0" applyNumberFormat="1" applyFont="1" applyBorder="1" applyAlignment="1">
      <alignment horizontal="center" vertical="center"/>
    </xf>
    <xf numFmtId="0" fontId="17" fillId="0" borderId="0" xfId="0" applyFont="1" applyAlignment="1">
      <alignment vertical="center"/>
    </xf>
    <xf numFmtId="0" fontId="18" fillId="0" borderId="0" xfId="0" applyFont="1" applyAlignment="1">
      <alignment vertical="center"/>
    </xf>
    <xf numFmtId="0" fontId="1" fillId="0" borderId="8" xfId="0" applyFont="1" applyBorder="1" applyAlignment="1">
      <alignment horizontal="center" vertical="center"/>
    </xf>
    <xf numFmtId="0" fontId="1" fillId="0" borderId="7" xfId="0" applyFont="1" applyBorder="1" applyAlignment="1">
      <alignment vertical="center"/>
    </xf>
    <xf numFmtId="165" fontId="20" fillId="0" borderId="18" xfId="0" applyNumberFormat="1" applyFont="1" applyBorder="1" applyAlignment="1">
      <alignment vertical="center"/>
    </xf>
    <xf numFmtId="0" fontId="9" fillId="0" borderId="18" xfId="0" applyFont="1" applyBorder="1" applyAlignment="1">
      <alignment vertical="center"/>
    </xf>
    <xf numFmtId="164" fontId="19" fillId="0" borderId="18" xfId="0" applyNumberFormat="1" applyFont="1" applyBorder="1" applyAlignment="1">
      <alignment horizontal="right" vertical="center"/>
    </xf>
    <xf numFmtId="0" fontId="9" fillId="0" borderId="18" xfId="0" applyFont="1" applyBorder="1" applyAlignment="1">
      <alignment horizontal="center" vertical="center"/>
    </xf>
    <xf numFmtId="165" fontId="15" fillId="0" borderId="18" xfId="0" applyNumberFormat="1" applyFont="1" applyBorder="1" applyAlignment="1">
      <alignment horizontal="left"/>
    </xf>
    <xf numFmtId="0" fontId="16" fillId="0" borderId="18" xfId="0" applyFont="1" applyBorder="1" applyAlignment="1">
      <alignment horizontal="center" vertical="center"/>
    </xf>
    <xf numFmtId="164" fontId="9" fillId="0" borderId="18" xfId="0" applyNumberFormat="1" applyFont="1" applyBorder="1" applyAlignment="1">
      <alignment horizontal="center" vertical="center"/>
    </xf>
    <xf numFmtId="164" fontId="10" fillId="0" borderId="18" xfId="0" applyNumberFormat="1" applyFont="1" applyBorder="1" applyAlignment="1" applyProtection="1">
      <alignment horizontal="center" vertical="center"/>
      <protection hidden="1"/>
    </xf>
    <xf numFmtId="0" fontId="20" fillId="0" borderId="0" xfId="0" applyFont="1" applyAlignment="1">
      <alignment horizontal="center" vertical="center"/>
    </xf>
    <xf numFmtId="2" fontId="20" fillId="0" borderId="0" xfId="0" applyNumberFormat="1" applyFont="1" applyAlignment="1">
      <alignment vertical="center"/>
    </xf>
    <xf numFmtId="165" fontId="20" fillId="0" borderId="0" xfId="0" applyNumberFormat="1" applyFont="1" applyAlignment="1">
      <alignment vertical="center"/>
    </xf>
    <xf numFmtId="164" fontId="19" fillId="0" borderId="0" xfId="0" applyNumberFormat="1" applyFont="1" applyAlignment="1">
      <alignment horizontal="right" vertical="center"/>
    </xf>
    <xf numFmtId="0" fontId="16" fillId="0" borderId="0" xfId="0" applyFont="1" applyAlignment="1">
      <alignment horizontal="center" vertical="center"/>
    </xf>
    <xf numFmtId="0" fontId="16" fillId="0" borderId="0" xfId="0" applyFont="1" applyAlignment="1">
      <alignment vertical="center"/>
    </xf>
    <xf numFmtId="164" fontId="10" fillId="0" borderId="19" xfId="0" applyNumberFormat="1" applyFont="1" applyBorder="1" applyAlignment="1" applyProtection="1">
      <alignment horizontal="center" vertical="center" wrapText="1"/>
      <protection hidden="1"/>
    </xf>
    <xf numFmtId="0" fontId="10" fillId="0" borderId="19" xfId="0" applyFont="1" applyBorder="1" applyAlignment="1" applyProtection="1">
      <alignment horizontal="center" vertical="center" wrapText="1"/>
      <protection hidden="1"/>
    </xf>
    <xf numFmtId="0" fontId="10" fillId="0" borderId="20" xfId="0" applyFont="1" applyBorder="1" applyAlignment="1" applyProtection="1">
      <alignment vertical="center" wrapText="1"/>
      <protection hidden="1"/>
    </xf>
    <xf numFmtId="1" fontId="10" fillId="0" borderId="20" xfId="0" applyNumberFormat="1" applyFont="1" applyBorder="1" applyAlignment="1">
      <alignment vertical="center" wrapText="1"/>
    </xf>
    <xf numFmtId="1" fontId="10" fillId="0" borderId="20" xfId="0" applyNumberFormat="1" applyFont="1" applyBorder="1" applyAlignment="1">
      <alignment horizontal="center" vertical="center" wrapText="1"/>
    </xf>
    <xf numFmtId="165" fontId="10" fillId="0" borderId="20" xfId="0" applyNumberFormat="1" applyFont="1" applyBorder="1" applyAlignment="1">
      <alignment vertical="center" wrapText="1"/>
    </xf>
    <xf numFmtId="14" fontId="16" fillId="2" borderId="19" xfId="0" applyNumberFormat="1" applyFont="1" applyFill="1" applyBorder="1" applyAlignment="1" applyProtection="1">
      <alignment horizontal="center" vertical="center"/>
      <protection locked="0"/>
    </xf>
    <xf numFmtId="0" fontId="21" fillId="2" borderId="21" xfId="0" applyFont="1" applyFill="1" applyBorder="1" applyAlignment="1">
      <alignment horizontal="center" vertical="center"/>
    </xf>
    <xf numFmtId="0" fontId="22" fillId="0" borderId="19" xfId="0" applyFont="1" applyBorder="1"/>
    <xf numFmtId="0" fontId="22" fillId="0" borderId="19" xfId="0" applyFont="1" applyBorder="1" applyAlignment="1">
      <alignment horizontal="center"/>
    </xf>
    <xf numFmtId="165" fontId="22" fillId="0" borderId="19" xfId="0" applyNumberFormat="1" applyFont="1" applyBorder="1"/>
    <xf numFmtId="0" fontId="21" fillId="2" borderId="22" xfId="0" applyFont="1" applyFill="1" applyBorder="1" applyAlignment="1">
      <alignment horizontal="center" vertical="center"/>
    </xf>
    <xf numFmtId="0" fontId="21" fillId="2" borderId="23" xfId="0" applyFont="1" applyFill="1" applyBorder="1" applyAlignment="1">
      <alignment horizontal="center" vertical="center"/>
    </xf>
    <xf numFmtId="0" fontId="10" fillId="0" borderId="16" xfId="0" applyFont="1" applyBorder="1" applyAlignment="1" applyProtection="1">
      <alignment horizontal="center" vertical="center" wrapText="1"/>
      <protection locked="0"/>
    </xf>
    <xf numFmtId="0" fontId="10" fillId="0" borderId="17" xfId="0" applyFont="1" applyBorder="1" applyAlignment="1" applyProtection="1">
      <alignment horizontal="center" vertical="center" wrapText="1"/>
      <protection locked="0"/>
    </xf>
    <xf numFmtId="14" fontId="8" fillId="0" borderId="13" xfId="0" applyNumberFormat="1" applyFont="1" applyBorder="1" applyAlignment="1">
      <alignment horizontal="center" vertical="center" wrapText="1"/>
    </xf>
    <xf numFmtId="14" fontId="8" fillId="0" borderId="14" xfId="0" applyNumberFormat="1" applyFont="1" applyBorder="1" applyAlignment="1">
      <alignment horizontal="center" vertical="center" wrapText="1"/>
    </xf>
    <xf numFmtId="0" fontId="10" fillId="0" borderId="13" xfId="0" applyFont="1" applyBorder="1" applyAlignment="1" applyProtection="1">
      <alignment horizontal="center" vertical="center" wrapText="1"/>
      <protection locked="0"/>
    </xf>
    <xf numFmtId="0" fontId="10" fillId="0" borderId="14" xfId="0" applyFont="1" applyBorder="1" applyAlignment="1" applyProtection="1">
      <alignment horizontal="center" vertical="center" wrapText="1"/>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14" fontId="8" fillId="0" borderId="13" xfId="0" applyNumberFormat="1" applyFont="1" applyBorder="1" applyAlignment="1">
      <alignment horizontal="center" vertical="center"/>
    </xf>
    <xf numFmtId="14" fontId="8" fillId="0" borderId="14" xfId="0" applyNumberFormat="1" applyFont="1" applyBorder="1" applyAlignment="1">
      <alignment horizontal="center" vertical="center"/>
    </xf>
    <xf numFmtId="0" fontId="10" fillId="0" borderId="13" xfId="0" applyFont="1" applyBorder="1" applyAlignment="1" applyProtection="1">
      <alignment horizontal="center" vertical="center"/>
      <protection locked="0"/>
    </xf>
    <xf numFmtId="0" fontId="10" fillId="0" borderId="14" xfId="0" applyFont="1" applyBorder="1" applyAlignment="1" applyProtection="1">
      <alignment horizontal="center" vertical="center"/>
      <protection locked="0"/>
    </xf>
  </cellXfs>
  <cellStyles count="1">
    <cellStyle name="Normal" xfId="0" builtinId="0"/>
  </cellStyles>
  <dxfs count="31">
    <dxf>
      <font>
        <color theme="0"/>
      </font>
    </dxf>
    <dxf>
      <font>
        <color theme="0"/>
      </font>
    </dxf>
    <dxf>
      <font>
        <color theme="0"/>
      </font>
      <fill>
        <patternFill patternType="none">
          <bgColor indexed="65"/>
        </patternFill>
      </fill>
    </dxf>
    <dxf>
      <font>
        <color indexed="9"/>
      </font>
    </dxf>
    <dxf>
      <font>
        <color indexed="9"/>
      </font>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indexed="9"/>
      </font>
    </dxf>
    <dxf>
      <font>
        <color indexed="9"/>
      </font>
    </dxf>
    <dxf>
      <font>
        <color theme="0"/>
      </font>
      <fill>
        <patternFill patternType="none">
          <bgColor indexed="65"/>
        </patternFill>
      </fill>
    </dxf>
    <dxf>
      <font>
        <color indexed="9"/>
      </font>
    </dxf>
    <dxf>
      <font>
        <color indexed="9"/>
      </font>
    </dxf>
    <dxf>
      <font>
        <color indexed="9"/>
      </font>
    </dxf>
    <dxf>
      <font>
        <color indexed="9"/>
      </font>
    </dxf>
    <dxf>
      <font>
        <color indexed="9"/>
      </font>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indexed="9"/>
      </font>
    </dxf>
    <dxf>
      <font>
        <color indexed="9"/>
      </font>
    </dxf>
    <dxf>
      <font>
        <color theme="0"/>
      </font>
      <fill>
        <patternFill patternType="none">
          <bgColor indexed="6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zoomScaleNormal="100" workbookViewId="0">
      <selection activeCell="C17" sqref="C17"/>
    </sheetView>
  </sheetViews>
  <sheetFormatPr defaultRowHeight="15" customHeight="1" x14ac:dyDescent="0.3"/>
  <cols>
    <col min="2" max="2" width="54.6640625" style="13" customWidth="1"/>
    <col min="5" max="5" width="9" bestFit="1" customWidth="1"/>
    <col min="6" max="6" width="18.109375" customWidth="1"/>
  </cols>
  <sheetData>
    <row r="1" spans="1:6" ht="15" customHeight="1" x14ac:dyDescent="0.3">
      <c r="A1" s="1" t="s">
        <v>0</v>
      </c>
      <c r="B1" s="16" t="s">
        <v>1</v>
      </c>
      <c r="C1" s="16" t="s">
        <v>2</v>
      </c>
      <c r="D1" s="16" t="s">
        <v>3</v>
      </c>
      <c r="E1" s="2" t="s">
        <v>15</v>
      </c>
      <c r="F1" s="17" t="s">
        <v>14</v>
      </c>
    </row>
    <row r="2" spans="1:6" ht="15" customHeight="1" thickBot="1" x14ac:dyDescent="0.35">
      <c r="A2" s="3">
        <v>1</v>
      </c>
      <c r="B2" s="12" t="s">
        <v>4</v>
      </c>
      <c r="C2" s="5" t="s">
        <v>6</v>
      </c>
      <c r="D2" s="5">
        <v>1</v>
      </c>
      <c r="E2" s="6">
        <v>185600</v>
      </c>
      <c r="F2" s="6">
        <v>185600</v>
      </c>
    </row>
    <row r="3" spans="1:6" ht="15" customHeight="1" thickBot="1" x14ac:dyDescent="0.35">
      <c r="A3" s="4">
        <v>1.1000000000000001</v>
      </c>
      <c r="B3" s="16" t="s">
        <v>5</v>
      </c>
      <c r="C3" s="8" t="s">
        <v>6</v>
      </c>
      <c r="D3" s="8">
        <v>1</v>
      </c>
      <c r="E3" s="9">
        <v>194000</v>
      </c>
      <c r="F3" s="9">
        <v>194000</v>
      </c>
    </row>
    <row r="4" spans="1:6" ht="15" customHeight="1" thickBot="1" x14ac:dyDescent="0.35">
      <c r="A4" s="7">
        <v>1.2</v>
      </c>
      <c r="B4" s="14" t="s">
        <v>7</v>
      </c>
      <c r="C4" s="8" t="s">
        <v>6</v>
      </c>
      <c r="D4" s="8">
        <v>1</v>
      </c>
      <c r="E4" s="9">
        <v>124700</v>
      </c>
      <c r="F4" s="9">
        <v>124700</v>
      </c>
    </row>
    <row r="5" spans="1:6" ht="15" customHeight="1" thickBot="1" x14ac:dyDescent="0.35">
      <c r="A5" s="7">
        <v>1.3</v>
      </c>
      <c r="B5" s="14" t="s">
        <v>8</v>
      </c>
      <c r="C5" s="8" t="s">
        <v>6</v>
      </c>
      <c r="D5" s="8">
        <v>1</v>
      </c>
      <c r="E5" s="9">
        <v>202500</v>
      </c>
      <c r="F5" s="9">
        <v>202500</v>
      </c>
    </row>
    <row r="6" spans="1:6" ht="15" customHeight="1" thickBot="1" x14ac:dyDescent="0.35">
      <c r="A6" s="7">
        <v>1.4</v>
      </c>
      <c r="B6" s="14" t="s">
        <v>9</v>
      </c>
      <c r="C6" s="8" t="s">
        <v>6</v>
      </c>
      <c r="D6" s="8">
        <v>1</v>
      </c>
      <c r="E6" s="9">
        <v>315800</v>
      </c>
      <c r="F6" s="9">
        <v>315800</v>
      </c>
    </row>
    <row r="7" spans="1:6" ht="15" customHeight="1" thickBot="1" x14ac:dyDescent="0.35">
      <c r="A7" s="7">
        <v>1.5</v>
      </c>
      <c r="B7" s="15" t="s">
        <v>10</v>
      </c>
      <c r="C7" s="8" t="s">
        <v>6</v>
      </c>
      <c r="D7" s="8">
        <v>1</v>
      </c>
      <c r="E7" s="9">
        <v>157700</v>
      </c>
      <c r="F7" s="9">
        <v>157700</v>
      </c>
    </row>
    <row r="8" spans="1:6" ht="15" customHeight="1" thickBot="1" x14ac:dyDescent="0.35">
      <c r="A8" s="7">
        <v>1.6</v>
      </c>
      <c r="B8" s="14" t="s">
        <v>11</v>
      </c>
      <c r="C8" s="8" t="s">
        <v>6</v>
      </c>
      <c r="D8" s="8">
        <v>1</v>
      </c>
      <c r="E8" s="9">
        <v>230800</v>
      </c>
      <c r="F8" s="9">
        <v>230800</v>
      </c>
    </row>
    <row r="9" spans="1:6" ht="15" customHeight="1" thickBot="1" x14ac:dyDescent="0.35">
      <c r="A9" s="7">
        <v>1.7</v>
      </c>
      <c r="B9" s="14" t="s">
        <v>12</v>
      </c>
      <c r="C9" s="8" t="s">
        <v>6</v>
      </c>
      <c r="D9" s="8">
        <v>1</v>
      </c>
      <c r="E9" s="9">
        <v>253500</v>
      </c>
      <c r="F9" s="9">
        <v>253500</v>
      </c>
    </row>
    <row r="10" spans="1:6" ht="15" customHeight="1" thickBot="1" x14ac:dyDescent="0.35">
      <c r="A10" s="10"/>
      <c r="B10" s="11" t="s">
        <v>13</v>
      </c>
      <c r="F10" s="18">
        <f>SUM(F2:F9)</f>
        <v>1664600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tabSelected="1" workbookViewId="0">
      <selection activeCell="G11" sqref="G11"/>
    </sheetView>
  </sheetViews>
  <sheetFormatPr defaultRowHeight="14.4" x14ac:dyDescent="0.3"/>
  <cols>
    <col min="1" max="1" width="5.6640625" bestFit="1" customWidth="1"/>
    <col min="2" max="2" width="54" customWidth="1"/>
    <col min="3" max="3" width="8.109375" customWidth="1"/>
    <col min="4" max="4" width="4.33203125" bestFit="1" customWidth="1"/>
    <col min="5" max="6" width="9" bestFit="1" customWidth="1"/>
  </cols>
  <sheetData>
    <row r="1" spans="1:6" ht="15" customHeight="1" x14ac:dyDescent="0.3">
      <c r="A1" s="1" t="s">
        <v>0</v>
      </c>
      <c r="B1" s="16" t="s">
        <v>1</v>
      </c>
      <c r="C1" s="16" t="s">
        <v>2</v>
      </c>
      <c r="D1" s="16" t="s">
        <v>3</v>
      </c>
      <c r="E1" s="2" t="s">
        <v>15</v>
      </c>
      <c r="F1" s="17" t="s">
        <v>14</v>
      </c>
    </row>
    <row r="2" spans="1:6" ht="15" customHeight="1" thickBot="1" x14ac:dyDescent="0.35">
      <c r="A2" s="3">
        <v>1</v>
      </c>
      <c r="B2" s="12" t="s">
        <v>4</v>
      </c>
      <c r="C2" s="5" t="s">
        <v>6</v>
      </c>
      <c r="D2" s="5">
        <v>1</v>
      </c>
      <c r="E2" s="6">
        <v>185600</v>
      </c>
      <c r="F2" s="6">
        <v>185600</v>
      </c>
    </row>
    <row r="3" spans="1:6" ht="15" customHeight="1" thickBot="1" x14ac:dyDescent="0.35">
      <c r="A3" s="4">
        <v>1.1000000000000001</v>
      </c>
      <c r="B3" s="16" t="s">
        <v>5</v>
      </c>
      <c r="C3" s="8" t="s">
        <v>6</v>
      </c>
      <c r="D3" s="8">
        <v>1</v>
      </c>
      <c r="E3" s="9">
        <v>194000</v>
      </c>
      <c r="F3" s="9">
        <v>194000</v>
      </c>
    </row>
    <row r="4" spans="1:6" ht="15" customHeight="1" thickBot="1" x14ac:dyDescent="0.35">
      <c r="A4" s="7">
        <v>1.2</v>
      </c>
      <c r="B4" s="14" t="s">
        <v>7</v>
      </c>
      <c r="C4" s="8" t="s">
        <v>6</v>
      </c>
      <c r="D4" s="8">
        <v>1</v>
      </c>
      <c r="E4" s="9">
        <v>124700</v>
      </c>
      <c r="F4" s="9">
        <v>124700</v>
      </c>
    </row>
    <row r="5" spans="1:6" ht="15" customHeight="1" thickBot="1" x14ac:dyDescent="0.35">
      <c r="A5" s="7">
        <v>1.3</v>
      </c>
      <c r="B5" s="14" t="s">
        <v>8</v>
      </c>
      <c r="C5" s="8" t="s">
        <v>6</v>
      </c>
      <c r="D5" s="8">
        <v>1</v>
      </c>
      <c r="E5" s="9">
        <v>202500</v>
      </c>
      <c r="F5" s="9">
        <v>202500</v>
      </c>
    </row>
    <row r="6" spans="1:6" ht="15" customHeight="1" thickBot="1" x14ac:dyDescent="0.35">
      <c r="A6" s="7">
        <v>1.4</v>
      </c>
      <c r="B6" s="14" t="s">
        <v>9</v>
      </c>
      <c r="C6" s="8" t="s">
        <v>6</v>
      </c>
      <c r="D6" s="8">
        <v>1</v>
      </c>
      <c r="E6" s="9">
        <v>315800</v>
      </c>
      <c r="F6" s="9">
        <v>315800</v>
      </c>
    </row>
    <row r="7" spans="1:6" ht="15" customHeight="1" thickBot="1" x14ac:dyDescent="0.35">
      <c r="A7" s="7">
        <v>1.5</v>
      </c>
      <c r="B7" s="15" t="s">
        <v>10</v>
      </c>
      <c r="C7" s="8" t="s">
        <v>6</v>
      </c>
      <c r="D7" s="8">
        <v>1</v>
      </c>
      <c r="E7" s="9">
        <v>157700</v>
      </c>
      <c r="F7" s="9">
        <v>157700</v>
      </c>
    </row>
    <row r="8" spans="1:6" ht="15" customHeight="1" thickBot="1" x14ac:dyDescent="0.35">
      <c r="A8" s="7">
        <v>1.6</v>
      </c>
      <c r="B8" s="14" t="s">
        <v>11</v>
      </c>
      <c r="C8" s="8" t="s">
        <v>6</v>
      </c>
      <c r="D8" s="8">
        <v>1</v>
      </c>
      <c r="E8" s="9">
        <v>230800</v>
      </c>
      <c r="F8" s="9">
        <v>230800</v>
      </c>
    </row>
    <row r="9" spans="1:6" ht="15" customHeight="1" thickBot="1" x14ac:dyDescent="0.35">
      <c r="A9" s="7">
        <v>1.7</v>
      </c>
      <c r="B9" s="14" t="s">
        <v>12</v>
      </c>
      <c r="C9" s="8" t="s">
        <v>6</v>
      </c>
      <c r="D9" s="8">
        <v>1</v>
      </c>
      <c r="E9" s="9">
        <v>253500</v>
      </c>
      <c r="F9" s="9">
        <v>253500</v>
      </c>
    </row>
    <row r="10" spans="1:6" ht="15" customHeight="1" thickBot="1" x14ac:dyDescent="0.35">
      <c r="A10" s="10"/>
      <c r="B10" s="11" t="s">
        <v>13</v>
      </c>
      <c r="F10" s="18">
        <f>SUM(F2:F9)</f>
        <v>1664600</v>
      </c>
    </row>
    <row r="11" spans="1:6" ht="15" customHeight="1"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selection activeCell="G13" sqref="G13"/>
    </sheetView>
  </sheetViews>
  <sheetFormatPr defaultRowHeight="14.4" x14ac:dyDescent="0.3"/>
  <cols>
    <col min="2" max="2" width="33.5546875" customWidth="1"/>
  </cols>
  <sheetData>
    <row r="1" spans="1:6" ht="15" customHeight="1" x14ac:dyDescent="0.3">
      <c r="A1" s="1" t="s">
        <v>0</v>
      </c>
      <c r="B1" s="16" t="s">
        <v>1</v>
      </c>
      <c r="C1" s="16" t="s">
        <v>2</v>
      </c>
      <c r="D1" s="16" t="s">
        <v>3</v>
      </c>
      <c r="E1" s="2" t="s">
        <v>15</v>
      </c>
      <c r="F1" s="17" t="s">
        <v>14</v>
      </c>
    </row>
    <row r="2" spans="1:6" ht="15" customHeight="1" thickBot="1" x14ac:dyDescent="0.35">
      <c r="A2" s="3">
        <v>1</v>
      </c>
      <c r="B2" s="12" t="s">
        <v>4</v>
      </c>
      <c r="C2" s="5" t="s">
        <v>6</v>
      </c>
      <c r="D2" s="5">
        <v>1</v>
      </c>
      <c r="E2" s="6">
        <v>185700</v>
      </c>
      <c r="F2" s="6">
        <v>185700</v>
      </c>
    </row>
    <row r="3" spans="1:6" ht="15" customHeight="1" thickBot="1" x14ac:dyDescent="0.35">
      <c r="A3" s="4">
        <v>1.1000000000000001</v>
      </c>
      <c r="B3" s="16" t="s">
        <v>5</v>
      </c>
      <c r="C3" s="8" t="s">
        <v>6</v>
      </c>
      <c r="D3" s="8">
        <v>1</v>
      </c>
      <c r="E3" s="9">
        <v>194000</v>
      </c>
      <c r="F3" s="9">
        <v>194000</v>
      </c>
    </row>
    <row r="4" spans="1:6" ht="15" customHeight="1" thickBot="1" x14ac:dyDescent="0.35">
      <c r="A4" s="7">
        <v>1.2</v>
      </c>
      <c r="B4" s="14" t="s">
        <v>7</v>
      </c>
      <c r="C4" s="8" t="s">
        <v>6</v>
      </c>
      <c r="D4" s="8">
        <v>1</v>
      </c>
      <c r="E4" s="9">
        <v>124700</v>
      </c>
      <c r="F4" s="9">
        <v>124700</v>
      </c>
    </row>
    <row r="5" spans="1:6" ht="15" customHeight="1" thickBot="1" x14ac:dyDescent="0.35">
      <c r="A5" s="7">
        <v>1.3</v>
      </c>
      <c r="B5" s="14" t="s">
        <v>8</v>
      </c>
      <c r="C5" s="8" t="s">
        <v>6</v>
      </c>
      <c r="D5" s="8">
        <v>1</v>
      </c>
      <c r="E5" s="9">
        <v>202600</v>
      </c>
      <c r="F5" s="9">
        <v>202600</v>
      </c>
    </row>
    <row r="6" spans="1:6" ht="15" customHeight="1" thickBot="1" x14ac:dyDescent="0.35">
      <c r="A6" s="7">
        <v>1.4</v>
      </c>
      <c r="B6" s="14" t="s">
        <v>9</v>
      </c>
      <c r="C6" s="8" t="s">
        <v>6</v>
      </c>
      <c r="D6" s="8">
        <v>1</v>
      </c>
      <c r="E6" s="9">
        <v>315800</v>
      </c>
      <c r="F6" s="9">
        <v>315800</v>
      </c>
    </row>
    <row r="7" spans="1:6" ht="15" customHeight="1" thickBot="1" x14ac:dyDescent="0.35">
      <c r="A7" s="7">
        <v>1.5</v>
      </c>
      <c r="B7" s="15" t="s">
        <v>10</v>
      </c>
      <c r="C7" s="8" t="s">
        <v>6</v>
      </c>
      <c r="D7" s="8">
        <v>1</v>
      </c>
      <c r="E7" s="9">
        <v>157700</v>
      </c>
      <c r="F7" s="9">
        <v>157700</v>
      </c>
    </row>
    <row r="8" spans="1:6" ht="15" customHeight="1" thickBot="1" x14ac:dyDescent="0.35">
      <c r="A8" s="7">
        <v>1.6</v>
      </c>
      <c r="B8" s="14" t="s">
        <v>11</v>
      </c>
      <c r="C8" s="8" t="s">
        <v>6</v>
      </c>
      <c r="D8" s="8">
        <v>1</v>
      </c>
      <c r="E8" s="9">
        <v>231800</v>
      </c>
      <c r="F8" s="9">
        <v>231800</v>
      </c>
    </row>
    <row r="9" spans="1:6" ht="15" customHeight="1" thickBot="1" x14ac:dyDescent="0.35">
      <c r="A9" s="7">
        <v>1.7</v>
      </c>
      <c r="B9" s="14" t="s">
        <v>12</v>
      </c>
      <c r="C9" s="8" t="s">
        <v>6</v>
      </c>
      <c r="D9" s="8">
        <v>1</v>
      </c>
      <c r="E9" s="9">
        <v>255500</v>
      </c>
      <c r="F9" s="9">
        <v>255500</v>
      </c>
    </row>
    <row r="10" spans="1:6" ht="15" customHeight="1" thickBot="1" x14ac:dyDescent="0.35">
      <c r="A10" s="10"/>
      <c r="B10" s="11" t="s">
        <v>13</v>
      </c>
      <c r="F10" s="18">
        <f>SUM(F2:F9)</f>
        <v>1667800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workbookViewId="0">
      <selection activeCell="H12" sqref="H12"/>
    </sheetView>
  </sheetViews>
  <sheetFormatPr defaultRowHeight="14.4" x14ac:dyDescent="0.3"/>
  <cols>
    <col min="2" max="2" width="36.5546875" customWidth="1"/>
  </cols>
  <sheetData>
    <row r="1" spans="1:6" ht="15" customHeight="1" x14ac:dyDescent="0.3">
      <c r="A1" s="1" t="s">
        <v>0</v>
      </c>
      <c r="B1" s="16" t="s">
        <v>1</v>
      </c>
      <c r="C1" s="16" t="s">
        <v>2</v>
      </c>
      <c r="D1" s="16" t="s">
        <v>3</v>
      </c>
      <c r="E1" s="2" t="s">
        <v>15</v>
      </c>
      <c r="F1" s="17" t="s">
        <v>14</v>
      </c>
    </row>
    <row r="2" spans="1:6" ht="15" customHeight="1" thickBot="1" x14ac:dyDescent="0.35">
      <c r="A2" s="3">
        <v>1</v>
      </c>
      <c r="B2" s="12" t="s">
        <v>4</v>
      </c>
      <c r="C2" s="5" t="s">
        <v>6</v>
      </c>
      <c r="D2" s="5">
        <v>1</v>
      </c>
      <c r="E2" s="6">
        <v>185700</v>
      </c>
      <c r="F2" s="6">
        <v>185700</v>
      </c>
    </row>
    <row r="3" spans="1:6" ht="15" customHeight="1" thickBot="1" x14ac:dyDescent="0.35">
      <c r="A3" s="4">
        <v>1.1000000000000001</v>
      </c>
      <c r="B3" s="16" t="s">
        <v>5</v>
      </c>
      <c r="C3" s="8" t="s">
        <v>6</v>
      </c>
      <c r="D3" s="8">
        <v>1</v>
      </c>
      <c r="E3" s="9">
        <v>194500</v>
      </c>
      <c r="F3" s="9">
        <v>194500</v>
      </c>
    </row>
    <row r="4" spans="1:6" ht="15" customHeight="1" thickBot="1" x14ac:dyDescent="0.35">
      <c r="A4" s="7">
        <v>1.2</v>
      </c>
      <c r="B4" s="14" t="s">
        <v>7</v>
      </c>
      <c r="C4" s="8" t="s">
        <v>6</v>
      </c>
      <c r="D4" s="8">
        <v>1</v>
      </c>
      <c r="E4" s="9">
        <v>124700</v>
      </c>
      <c r="F4" s="9">
        <v>124700</v>
      </c>
    </row>
    <row r="5" spans="1:6" ht="15" customHeight="1" thickBot="1" x14ac:dyDescent="0.35">
      <c r="A5" s="7">
        <v>1.3</v>
      </c>
      <c r="B5" s="14" t="s">
        <v>8</v>
      </c>
      <c r="C5" s="8" t="s">
        <v>6</v>
      </c>
      <c r="D5" s="8">
        <v>1</v>
      </c>
      <c r="E5" s="9">
        <v>202900</v>
      </c>
      <c r="F5" s="9">
        <v>202900</v>
      </c>
    </row>
    <row r="6" spans="1:6" ht="15" customHeight="1" thickBot="1" x14ac:dyDescent="0.35">
      <c r="A6" s="7">
        <v>1.4</v>
      </c>
      <c r="B6" s="14" t="s">
        <v>9</v>
      </c>
      <c r="C6" s="8" t="s">
        <v>6</v>
      </c>
      <c r="D6" s="8">
        <v>1</v>
      </c>
      <c r="E6" s="9">
        <v>315800</v>
      </c>
      <c r="F6" s="9">
        <v>315800</v>
      </c>
    </row>
    <row r="7" spans="1:6" ht="15" customHeight="1" thickBot="1" x14ac:dyDescent="0.35">
      <c r="A7" s="7">
        <v>1.5</v>
      </c>
      <c r="B7" s="15" t="s">
        <v>10</v>
      </c>
      <c r="C7" s="8" t="s">
        <v>6</v>
      </c>
      <c r="D7" s="8">
        <v>1</v>
      </c>
      <c r="E7" s="9">
        <v>158700</v>
      </c>
      <c r="F7" s="9">
        <v>158700</v>
      </c>
    </row>
    <row r="8" spans="1:6" ht="15" customHeight="1" thickBot="1" x14ac:dyDescent="0.35">
      <c r="A8" s="7">
        <v>1.6</v>
      </c>
      <c r="B8" s="14" t="s">
        <v>11</v>
      </c>
      <c r="C8" s="8" t="s">
        <v>6</v>
      </c>
      <c r="D8" s="8">
        <v>1</v>
      </c>
      <c r="E8" s="9">
        <v>231800</v>
      </c>
      <c r="F8" s="9">
        <v>231800</v>
      </c>
    </row>
    <row r="9" spans="1:6" ht="15" customHeight="1" thickBot="1" x14ac:dyDescent="0.35">
      <c r="A9" s="7">
        <v>1.7</v>
      </c>
      <c r="B9" s="14" t="s">
        <v>12</v>
      </c>
      <c r="C9" s="8" t="s">
        <v>6</v>
      </c>
      <c r="D9" s="8">
        <v>1</v>
      </c>
      <c r="E9" s="9">
        <v>255500</v>
      </c>
      <c r="F9" s="9">
        <v>255500</v>
      </c>
    </row>
    <row r="10" spans="1:6" ht="15" customHeight="1" thickBot="1" x14ac:dyDescent="0.35">
      <c r="A10" s="10"/>
      <c r="B10" s="11" t="s">
        <v>13</v>
      </c>
      <c r="F10" s="18">
        <f>SUM(F2:F9)</f>
        <v>1669600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workbookViewId="0">
      <selection activeCell="G14" sqref="G14"/>
    </sheetView>
  </sheetViews>
  <sheetFormatPr defaultRowHeight="14.4" x14ac:dyDescent="0.3"/>
  <cols>
    <col min="2" max="2" width="36.44140625" customWidth="1"/>
  </cols>
  <sheetData>
    <row r="1" spans="1:6" ht="15" customHeight="1" x14ac:dyDescent="0.3">
      <c r="A1" s="1" t="s">
        <v>0</v>
      </c>
      <c r="B1" s="16" t="s">
        <v>1</v>
      </c>
      <c r="C1" s="16" t="s">
        <v>2</v>
      </c>
      <c r="D1" s="16" t="s">
        <v>3</v>
      </c>
      <c r="E1" s="2" t="s">
        <v>15</v>
      </c>
      <c r="F1" s="17" t="s">
        <v>14</v>
      </c>
    </row>
    <row r="2" spans="1:6" ht="15" customHeight="1" thickBot="1" x14ac:dyDescent="0.35">
      <c r="A2" s="3">
        <v>1</v>
      </c>
      <c r="B2" s="12" t="s">
        <v>4</v>
      </c>
      <c r="C2" s="5" t="s">
        <v>6</v>
      </c>
      <c r="D2" s="5">
        <v>1</v>
      </c>
      <c r="E2" s="6">
        <v>185600</v>
      </c>
      <c r="F2" s="6">
        <v>185600</v>
      </c>
    </row>
    <row r="3" spans="1:6" ht="15" customHeight="1" thickBot="1" x14ac:dyDescent="0.35">
      <c r="A3" s="4">
        <v>1.1000000000000001</v>
      </c>
      <c r="B3" s="16" t="s">
        <v>5</v>
      </c>
      <c r="C3" s="8" t="s">
        <v>6</v>
      </c>
      <c r="D3" s="8">
        <v>1</v>
      </c>
      <c r="E3" s="9">
        <v>194000</v>
      </c>
      <c r="F3" s="9">
        <v>194000</v>
      </c>
    </row>
    <row r="4" spans="1:6" ht="15" customHeight="1" thickBot="1" x14ac:dyDescent="0.35">
      <c r="A4" s="7">
        <v>1.2</v>
      </c>
      <c r="B4" s="14" t="s">
        <v>7</v>
      </c>
      <c r="C4" s="8" t="s">
        <v>6</v>
      </c>
      <c r="D4" s="8">
        <v>1</v>
      </c>
      <c r="E4" s="9">
        <v>124700</v>
      </c>
      <c r="F4" s="9">
        <v>124700</v>
      </c>
    </row>
    <row r="5" spans="1:6" ht="15" customHeight="1" thickBot="1" x14ac:dyDescent="0.35">
      <c r="A5" s="7">
        <v>1.3</v>
      </c>
      <c r="B5" s="14" t="s">
        <v>8</v>
      </c>
      <c r="C5" s="8" t="s">
        <v>6</v>
      </c>
      <c r="D5" s="8">
        <v>1</v>
      </c>
      <c r="E5" s="9">
        <v>202500</v>
      </c>
      <c r="F5" s="9">
        <v>202500</v>
      </c>
    </row>
    <row r="6" spans="1:6" ht="15" customHeight="1" thickBot="1" x14ac:dyDescent="0.35">
      <c r="A6" s="7">
        <v>1.4</v>
      </c>
      <c r="B6" s="14" t="s">
        <v>9</v>
      </c>
      <c r="C6" s="8" t="s">
        <v>6</v>
      </c>
      <c r="D6" s="8">
        <v>1</v>
      </c>
      <c r="E6" s="9">
        <v>316800</v>
      </c>
      <c r="F6" s="9">
        <v>316800</v>
      </c>
    </row>
    <row r="7" spans="1:6" ht="15" customHeight="1" thickBot="1" x14ac:dyDescent="0.35">
      <c r="A7" s="7">
        <v>1.5</v>
      </c>
      <c r="B7" s="15" t="s">
        <v>10</v>
      </c>
      <c r="C7" s="8" t="s">
        <v>6</v>
      </c>
      <c r="D7" s="8">
        <v>1</v>
      </c>
      <c r="E7" s="9">
        <v>157700</v>
      </c>
      <c r="F7" s="9">
        <v>157700</v>
      </c>
    </row>
    <row r="8" spans="1:6" ht="15" customHeight="1" thickBot="1" x14ac:dyDescent="0.35">
      <c r="A8" s="7">
        <v>1.6</v>
      </c>
      <c r="B8" s="14" t="s">
        <v>11</v>
      </c>
      <c r="C8" s="8" t="s">
        <v>6</v>
      </c>
      <c r="D8" s="8">
        <v>1</v>
      </c>
      <c r="E8" s="9">
        <v>230800</v>
      </c>
      <c r="F8" s="9">
        <v>230800</v>
      </c>
    </row>
    <row r="9" spans="1:6" ht="15" customHeight="1" thickBot="1" x14ac:dyDescent="0.35">
      <c r="A9" s="7">
        <v>1.7</v>
      </c>
      <c r="B9" s="14" t="s">
        <v>12</v>
      </c>
      <c r="C9" s="8" t="s">
        <v>6</v>
      </c>
      <c r="D9" s="8">
        <v>1</v>
      </c>
      <c r="E9" s="9">
        <v>253500</v>
      </c>
      <c r="F9" s="9">
        <v>253500</v>
      </c>
    </row>
    <row r="10" spans="1:6" ht="15" customHeight="1" thickBot="1" x14ac:dyDescent="0.35">
      <c r="A10" s="10"/>
      <c r="B10" s="11" t="s">
        <v>13</v>
      </c>
      <c r="F10" s="18">
        <f>SUM(F2:F9)</f>
        <v>1665600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8"/>
  <sheetViews>
    <sheetView view="pageBreakPreview" topLeftCell="A10" zoomScaleNormal="100" zoomScaleSheetLayoutView="100" workbookViewId="0">
      <selection activeCell="M15" sqref="A1:XFD1048576"/>
    </sheetView>
  </sheetViews>
  <sheetFormatPr defaultColWidth="9.109375" defaultRowHeight="45" customHeight="1" x14ac:dyDescent="0.3"/>
  <cols>
    <col min="1" max="1" width="12" style="43" customWidth="1"/>
    <col min="2" max="2" width="7.109375" style="44" customWidth="1"/>
    <col min="3" max="3" width="32.33203125" style="45" customWidth="1"/>
    <col min="4" max="4" width="7.6640625" style="46" customWidth="1"/>
    <col min="5" max="5" width="7.6640625" style="47" bestFit="1" customWidth="1"/>
    <col min="6" max="6" width="10.5546875" style="47" bestFit="1" customWidth="1"/>
    <col min="7" max="7" width="7.6640625" style="47" customWidth="1"/>
    <col min="8" max="8" width="10.33203125" style="48" customWidth="1"/>
    <col min="9" max="9" width="4" style="20" customWidth="1"/>
    <col min="10" max="10" width="5.44140625" style="20" customWidth="1"/>
    <col min="11" max="14" width="6.5546875" style="20" customWidth="1"/>
    <col min="15" max="15" width="13.109375" style="20" bestFit="1" customWidth="1"/>
    <col min="16" max="17" width="9.109375" style="20"/>
    <col min="18" max="18" width="13.109375" style="20" bestFit="1" customWidth="1"/>
    <col min="19" max="16384" width="9.109375" style="20"/>
  </cols>
  <sheetData>
    <row r="1" spans="1:11" ht="45" customHeight="1" x14ac:dyDescent="0.3">
      <c r="A1" s="19" t="s">
        <v>16</v>
      </c>
      <c r="B1" s="95" t="s">
        <v>31</v>
      </c>
      <c r="C1" s="95"/>
      <c r="D1" s="95"/>
      <c r="E1" s="95"/>
      <c r="F1" s="95"/>
      <c r="G1" s="95"/>
      <c r="H1" s="95"/>
      <c r="I1" s="96"/>
    </row>
    <row r="2" spans="1:11" ht="45" customHeight="1" x14ac:dyDescent="0.3">
      <c r="A2" s="19" t="s">
        <v>17</v>
      </c>
      <c r="B2" s="97" t="s">
        <v>32</v>
      </c>
      <c r="C2" s="97"/>
      <c r="D2" s="97"/>
      <c r="E2" s="97"/>
      <c r="F2" s="97"/>
      <c r="G2" s="97"/>
      <c r="H2" s="97"/>
      <c r="I2" s="98"/>
    </row>
    <row r="3" spans="1:11" ht="45" customHeight="1" x14ac:dyDescent="0.3">
      <c r="A3" s="19" t="s">
        <v>18</v>
      </c>
      <c r="B3" s="97" t="s">
        <v>33</v>
      </c>
      <c r="C3" s="97"/>
      <c r="D3" s="97"/>
      <c r="E3" s="97"/>
      <c r="F3" s="97"/>
      <c r="G3" s="97"/>
      <c r="H3" s="97"/>
      <c r="I3" s="98"/>
    </row>
    <row r="4" spans="1:11" ht="45" customHeight="1" x14ac:dyDescent="0.3">
      <c r="A4" s="19" t="s">
        <v>19</v>
      </c>
      <c r="B4" s="97" t="s">
        <v>34</v>
      </c>
      <c r="C4" s="97"/>
      <c r="D4" s="97"/>
      <c r="E4" s="97"/>
      <c r="F4" s="97"/>
      <c r="G4" s="97"/>
      <c r="H4" s="97"/>
      <c r="I4" s="98"/>
    </row>
    <row r="5" spans="1:11" ht="45" customHeight="1" x14ac:dyDescent="0.3">
      <c r="A5" s="19" t="s">
        <v>20</v>
      </c>
      <c r="B5" s="97" t="s">
        <v>35</v>
      </c>
      <c r="C5" s="97"/>
      <c r="D5" s="97"/>
      <c r="E5" s="97"/>
      <c r="F5" s="97"/>
      <c r="G5" s="97"/>
      <c r="H5" s="97"/>
      <c r="I5" s="98"/>
    </row>
    <row r="6" spans="1:11" ht="45" customHeight="1" x14ac:dyDescent="0.3">
      <c r="A6" s="21" t="s">
        <v>21</v>
      </c>
      <c r="B6" s="93" t="s">
        <v>30</v>
      </c>
      <c r="C6" s="93"/>
      <c r="D6" s="93"/>
      <c r="E6" s="93"/>
      <c r="F6" s="93"/>
      <c r="G6" s="93"/>
      <c r="H6" s="93"/>
      <c r="I6" s="94"/>
    </row>
    <row r="7" spans="1:11" ht="45" customHeight="1" x14ac:dyDescent="0.3">
      <c r="A7" s="22" t="s">
        <v>22</v>
      </c>
      <c r="B7" s="23" t="s">
        <v>23</v>
      </c>
      <c r="C7" s="24" t="s">
        <v>24</v>
      </c>
      <c r="D7" s="24" t="s">
        <v>25</v>
      </c>
      <c r="E7" s="25" t="s">
        <v>26</v>
      </c>
      <c r="F7" s="25" t="s">
        <v>27</v>
      </c>
      <c r="G7" s="25" t="s">
        <v>28</v>
      </c>
      <c r="H7" s="26" t="s">
        <v>29</v>
      </c>
      <c r="I7" s="27"/>
    </row>
    <row r="8" spans="1:11" s="35" customFormat="1" ht="45" customHeight="1" thickBot="1" x14ac:dyDescent="0.35">
      <c r="A8" s="28" t="s">
        <v>36</v>
      </c>
      <c r="B8" s="3">
        <v>1</v>
      </c>
      <c r="C8" s="12" t="s">
        <v>4</v>
      </c>
      <c r="D8" s="8">
        <v>1</v>
      </c>
      <c r="E8" s="32">
        <v>1</v>
      </c>
      <c r="F8" s="32"/>
      <c r="G8" s="32"/>
      <c r="H8" s="33">
        <f>D8*E8*F8*G8</f>
        <v>0</v>
      </c>
      <c r="I8" s="34"/>
      <c r="K8" s="36"/>
    </row>
    <row r="9" spans="1:11" s="35" customFormat="1" ht="45" customHeight="1" thickBot="1" x14ac:dyDescent="0.35">
      <c r="A9" s="28" t="s">
        <v>36</v>
      </c>
      <c r="B9" s="4">
        <v>2</v>
      </c>
      <c r="C9" s="16" t="s">
        <v>5</v>
      </c>
      <c r="D9" s="8">
        <v>1</v>
      </c>
      <c r="E9" s="32">
        <v>1</v>
      </c>
      <c r="F9" s="32"/>
      <c r="G9" s="32"/>
      <c r="H9" s="33"/>
      <c r="I9" s="34"/>
      <c r="K9" s="36"/>
    </row>
    <row r="10" spans="1:11" s="35" customFormat="1" ht="45" customHeight="1" thickBot="1" x14ac:dyDescent="0.35">
      <c r="A10" s="28" t="s">
        <v>36</v>
      </c>
      <c r="B10" s="7">
        <v>3</v>
      </c>
      <c r="C10" s="14" t="s">
        <v>7</v>
      </c>
      <c r="D10" s="8">
        <v>1</v>
      </c>
      <c r="E10" s="32">
        <v>1</v>
      </c>
      <c r="F10" s="32"/>
      <c r="G10" s="32"/>
      <c r="H10" s="33"/>
      <c r="I10" s="34"/>
      <c r="K10" s="36"/>
    </row>
    <row r="11" spans="1:11" s="35" customFormat="1" ht="45" customHeight="1" thickBot="1" x14ac:dyDescent="0.35">
      <c r="A11" s="28" t="s">
        <v>38</v>
      </c>
      <c r="B11" s="7">
        <v>1.3</v>
      </c>
      <c r="C11" s="14" t="s">
        <v>8</v>
      </c>
      <c r="D11" s="8">
        <v>1</v>
      </c>
      <c r="E11" s="32">
        <v>1</v>
      </c>
      <c r="F11" s="32"/>
      <c r="G11" s="32"/>
      <c r="H11" s="33"/>
      <c r="I11" s="34"/>
      <c r="K11" s="36"/>
    </row>
    <row r="12" spans="1:11" s="35" customFormat="1" ht="45" customHeight="1" thickBot="1" x14ac:dyDescent="0.35">
      <c r="A12" s="28" t="s">
        <v>38</v>
      </c>
      <c r="B12" s="7">
        <v>1.4</v>
      </c>
      <c r="C12" s="14" t="s">
        <v>9</v>
      </c>
      <c r="D12" s="8">
        <v>1</v>
      </c>
      <c r="E12" s="32">
        <v>1</v>
      </c>
      <c r="F12" s="32"/>
      <c r="G12" s="32"/>
      <c r="H12" s="33"/>
      <c r="I12" s="34"/>
      <c r="K12" s="36"/>
    </row>
    <row r="13" spans="1:11" s="35" customFormat="1" ht="45" customHeight="1" thickBot="1" x14ac:dyDescent="0.35">
      <c r="A13" s="28" t="s">
        <v>37</v>
      </c>
      <c r="B13" s="7">
        <v>1.5</v>
      </c>
      <c r="C13" s="15" t="s">
        <v>10</v>
      </c>
      <c r="D13" s="8">
        <v>1</v>
      </c>
      <c r="E13" s="32">
        <v>1</v>
      </c>
      <c r="F13" s="32"/>
      <c r="G13" s="32"/>
      <c r="H13" s="33"/>
      <c r="I13" s="34"/>
      <c r="K13" s="36"/>
    </row>
    <row r="14" spans="1:11" s="35" customFormat="1" ht="45" customHeight="1" thickBot="1" x14ac:dyDescent="0.35">
      <c r="A14" s="28" t="s">
        <v>39</v>
      </c>
      <c r="B14" s="7">
        <v>1.6</v>
      </c>
      <c r="C14" s="14" t="s">
        <v>11</v>
      </c>
      <c r="D14" s="8">
        <v>1</v>
      </c>
      <c r="E14" s="32">
        <v>1</v>
      </c>
      <c r="F14" s="32"/>
      <c r="G14" s="32"/>
      <c r="H14" s="33"/>
      <c r="I14" s="34"/>
      <c r="K14" s="36"/>
    </row>
    <row r="15" spans="1:11" s="35" customFormat="1" ht="45" customHeight="1" x14ac:dyDescent="0.3">
      <c r="A15" s="28" t="s">
        <v>40</v>
      </c>
      <c r="B15" s="7">
        <v>1.7</v>
      </c>
      <c r="C15" s="14" t="s">
        <v>12</v>
      </c>
      <c r="D15" s="8">
        <v>1</v>
      </c>
      <c r="E15" s="32">
        <v>1</v>
      </c>
      <c r="F15" s="32"/>
      <c r="G15" s="32"/>
      <c r="H15" s="39"/>
      <c r="I15" s="40"/>
      <c r="K15" s="36"/>
    </row>
    <row r="16" spans="1:11" ht="45" customHeight="1" x14ac:dyDescent="0.25">
      <c r="A16" s="38"/>
      <c r="B16" s="41"/>
      <c r="C16" s="30"/>
      <c r="D16" s="31"/>
      <c r="E16" s="32"/>
      <c r="F16" s="32"/>
      <c r="G16" s="32"/>
      <c r="H16" s="39"/>
      <c r="I16" s="40"/>
    </row>
    <row r="17" spans="1:9" ht="45" customHeight="1" x14ac:dyDescent="0.25">
      <c r="A17" s="38"/>
      <c r="B17" s="41"/>
      <c r="C17" s="30"/>
      <c r="D17" s="31"/>
      <c r="E17" s="32"/>
      <c r="F17" s="32"/>
      <c r="G17" s="32"/>
      <c r="H17" s="39"/>
      <c r="I17" s="40"/>
    </row>
    <row r="18" spans="1:9" ht="45" customHeight="1" x14ac:dyDescent="0.25">
      <c r="A18" s="38"/>
      <c r="B18" s="41"/>
      <c r="C18" s="30"/>
      <c r="D18" s="31"/>
      <c r="E18" s="32"/>
      <c r="F18" s="32"/>
      <c r="G18" s="32"/>
      <c r="H18" s="39"/>
      <c r="I18" s="40"/>
    </row>
    <row r="19" spans="1:9" ht="45" customHeight="1" x14ac:dyDescent="0.25">
      <c r="A19" s="38"/>
      <c r="B19" s="41"/>
      <c r="C19" s="30"/>
      <c r="D19" s="31"/>
      <c r="E19" s="32"/>
      <c r="F19" s="32"/>
      <c r="G19" s="32"/>
      <c r="H19" s="33"/>
      <c r="I19" s="34"/>
    </row>
    <row r="20" spans="1:9" ht="45" customHeight="1" x14ac:dyDescent="0.25">
      <c r="A20" s="28"/>
      <c r="B20" s="29"/>
      <c r="C20" s="30"/>
      <c r="D20" s="31"/>
      <c r="E20" s="32"/>
      <c r="F20" s="32"/>
      <c r="G20" s="32"/>
      <c r="H20" s="33"/>
      <c r="I20" s="34"/>
    </row>
    <row r="21" spans="1:9" ht="45" customHeight="1" x14ac:dyDescent="0.25">
      <c r="A21" s="37"/>
      <c r="B21" s="29"/>
      <c r="C21" s="30"/>
      <c r="D21" s="31"/>
      <c r="E21" s="32"/>
      <c r="F21" s="32"/>
      <c r="G21" s="32"/>
      <c r="H21" s="33"/>
      <c r="I21" s="34"/>
    </row>
    <row r="22" spans="1:9" ht="45" customHeight="1" x14ac:dyDescent="0.25">
      <c r="A22" s="37"/>
      <c r="B22" s="29"/>
      <c r="C22" s="30"/>
      <c r="D22" s="31"/>
      <c r="E22" s="32"/>
      <c r="F22" s="32"/>
      <c r="G22" s="32"/>
      <c r="H22" s="33"/>
      <c r="I22" s="34"/>
    </row>
    <row r="23" spans="1:9" ht="45" customHeight="1" x14ac:dyDescent="0.25">
      <c r="A23" s="37"/>
      <c r="B23" s="29"/>
      <c r="C23" s="30"/>
      <c r="D23" s="42"/>
      <c r="E23" s="33"/>
      <c r="F23" s="33"/>
      <c r="G23" s="33"/>
      <c r="H23" s="39"/>
      <c r="I23" s="40"/>
    </row>
    <row r="24" spans="1:9" ht="45" customHeight="1" x14ac:dyDescent="0.25">
      <c r="A24" s="38"/>
      <c r="B24" s="41"/>
      <c r="C24" s="30"/>
      <c r="D24" s="31"/>
      <c r="E24" s="32"/>
      <c r="F24" s="32"/>
      <c r="G24" s="32"/>
      <c r="H24" s="39"/>
      <c r="I24" s="40"/>
    </row>
    <row r="25" spans="1:9" ht="45" customHeight="1" x14ac:dyDescent="0.25">
      <c r="A25" s="38"/>
      <c r="B25" s="41"/>
      <c r="C25" s="30"/>
      <c r="D25" s="31"/>
      <c r="E25" s="32"/>
      <c r="F25" s="32"/>
      <c r="G25" s="32"/>
      <c r="H25" s="39"/>
      <c r="I25" s="40"/>
    </row>
    <row r="26" spans="1:9" ht="45" customHeight="1" x14ac:dyDescent="0.25">
      <c r="A26" s="38"/>
      <c r="B26" s="41"/>
      <c r="C26" s="30"/>
      <c r="D26" s="31"/>
      <c r="E26" s="32"/>
      <c r="F26" s="32"/>
      <c r="G26" s="32"/>
      <c r="H26" s="39"/>
      <c r="I26" s="40"/>
    </row>
    <row r="27" spans="1:9" ht="45" customHeight="1" x14ac:dyDescent="0.25">
      <c r="A27" s="38"/>
      <c r="B27" s="41"/>
      <c r="C27" s="30"/>
      <c r="D27" s="31"/>
      <c r="E27" s="32"/>
      <c r="F27" s="32"/>
      <c r="G27" s="32"/>
      <c r="H27" s="39"/>
      <c r="I27" s="40"/>
    </row>
    <row r="28" spans="1:9" ht="45" customHeight="1" x14ac:dyDescent="0.25">
      <c r="A28" s="38"/>
      <c r="B28" s="41"/>
      <c r="C28" s="30"/>
    </row>
  </sheetData>
  <mergeCells count="6">
    <mergeCell ref="B6:I6"/>
    <mergeCell ref="B1:I1"/>
    <mergeCell ref="B2:I2"/>
    <mergeCell ref="B3:I3"/>
    <mergeCell ref="B4:I4"/>
    <mergeCell ref="B5:I5"/>
  </mergeCells>
  <conditionalFormatting sqref="F15 F9:H14 D8:H8 B20:C23 D19:H22 B8:C15 D9:D14 E16:F18 C16:C19">
    <cfRule type="cellIs" dxfId="30" priority="26" operator="equal">
      <formula>0</formula>
    </cfRule>
  </conditionalFormatting>
  <conditionalFormatting sqref="A8">
    <cfRule type="cellIs" dxfId="29" priority="25" stopIfTrue="1" operator="equal">
      <formula>0</formula>
    </cfRule>
  </conditionalFormatting>
  <conditionalFormatting sqref="A20">
    <cfRule type="cellIs" dxfId="28" priority="22" stopIfTrue="1" operator="equal">
      <formula>0</formula>
    </cfRule>
  </conditionalFormatting>
  <conditionalFormatting sqref="C24:C28">
    <cfRule type="cellIs" dxfId="27" priority="21" operator="equal">
      <formula>0</formula>
    </cfRule>
  </conditionalFormatting>
  <conditionalFormatting sqref="E24:F27">
    <cfRule type="cellIs" dxfId="26" priority="20" operator="equal">
      <formula>0</formula>
    </cfRule>
  </conditionalFormatting>
  <conditionalFormatting sqref="D23:G23">
    <cfRule type="cellIs" dxfId="25" priority="19" operator="equal">
      <formula>0</formula>
    </cfRule>
  </conditionalFormatting>
  <conditionalFormatting sqref="E15">
    <cfRule type="cellIs" dxfId="24" priority="15" operator="equal">
      <formula>0</formula>
    </cfRule>
  </conditionalFormatting>
  <conditionalFormatting sqref="E14">
    <cfRule type="cellIs" dxfId="23" priority="14" operator="equal">
      <formula>0</formula>
    </cfRule>
  </conditionalFormatting>
  <conditionalFormatting sqref="E13">
    <cfRule type="cellIs" dxfId="22" priority="13" operator="equal">
      <formula>0</formula>
    </cfRule>
  </conditionalFormatting>
  <conditionalFormatting sqref="E12">
    <cfRule type="cellIs" dxfId="21" priority="12" operator="equal">
      <formula>0</formula>
    </cfRule>
  </conditionalFormatting>
  <conditionalFormatting sqref="E11">
    <cfRule type="cellIs" dxfId="20" priority="11" operator="equal">
      <formula>0</formula>
    </cfRule>
  </conditionalFormatting>
  <conditionalFormatting sqref="E10">
    <cfRule type="cellIs" dxfId="19" priority="10" operator="equal">
      <formula>0</formula>
    </cfRule>
  </conditionalFormatting>
  <conditionalFormatting sqref="E9">
    <cfRule type="cellIs" dxfId="18" priority="9" operator="equal">
      <formula>0</formula>
    </cfRule>
  </conditionalFormatting>
  <conditionalFormatting sqref="A9">
    <cfRule type="cellIs" dxfId="17" priority="8" stopIfTrue="1" operator="equal">
      <formula>0</formula>
    </cfRule>
  </conditionalFormatting>
  <conditionalFormatting sqref="A10">
    <cfRule type="cellIs" dxfId="16" priority="7" stopIfTrue="1" operator="equal">
      <formula>0</formula>
    </cfRule>
  </conditionalFormatting>
  <conditionalFormatting sqref="A11:A13">
    <cfRule type="cellIs" dxfId="15" priority="4" stopIfTrue="1" operator="equal">
      <formula>0</formula>
    </cfRule>
  </conditionalFormatting>
  <conditionalFormatting sqref="A15">
    <cfRule type="cellIs" dxfId="14" priority="2" stopIfTrue="1" operator="equal">
      <formula>0</formula>
    </cfRule>
  </conditionalFormatting>
  <conditionalFormatting sqref="A14">
    <cfRule type="cellIs" dxfId="13" priority="1" stopIfTrue="1" operator="equal">
      <formula>0</formula>
    </cfRule>
  </conditionalFormatting>
  <pageMargins left="0.7" right="0.7" top="0.75" bottom="0.75" header="0.3" footer="0.3"/>
  <pageSetup scale="95"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3"/>
  <sheetViews>
    <sheetView topLeftCell="A4" workbookViewId="0">
      <selection activeCell="F8" sqref="F8"/>
    </sheetView>
  </sheetViews>
  <sheetFormatPr defaultColWidth="9.109375" defaultRowHeight="13.8" x14ac:dyDescent="0.3"/>
  <cols>
    <col min="1" max="1" width="12" style="77" customWidth="1"/>
    <col min="2" max="2" width="7.109375" style="78" customWidth="1"/>
    <col min="3" max="3" width="32.33203125" style="79" customWidth="1"/>
    <col min="4" max="4" width="7.6640625" style="74" customWidth="1"/>
    <col min="5" max="5" width="7.6640625" style="75" bestFit="1" customWidth="1"/>
    <col min="6" max="6" width="10.5546875" style="75" bestFit="1" customWidth="1"/>
    <col min="7" max="7" width="7.6640625" style="75" customWidth="1"/>
    <col min="8" max="8" width="10.33203125" style="76" customWidth="1"/>
    <col min="9" max="9" width="4" style="50" customWidth="1"/>
    <col min="10" max="10" width="5.44140625" style="50" customWidth="1"/>
    <col min="11" max="14" width="6.5546875" style="50" customWidth="1"/>
    <col min="15" max="15" width="13.109375" style="50" bestFit="1" customWidth="1"/>
    <col min="16" max="17" width="9.109375" style="50"/>
    <col min="18" max="18" width="13.109375" style="50" bestFit="1" customWidth="1"/>
    <col min="19" max="16384" width="9.109375" style="50"/>
  </cols>
  <sheetData>
    <row r="1" spans="1:11" ht="13.2" x14ac:dyDescent="0.3">
      <c r="A1" s="49" t="s">
        <v>16</v>
      </c>
      <c r="B1" s="101" t="s">
        <v>31</v>
      </c>
      <c r="C1" s="101"/>
      <c r="D1" s="101"/>
      <c r="E1" s="101"/>
      <c r="F1" s="101"/>
      <c r="G1" s="101"/>
      <c r="H1" s="101"/>
      <c r="I1" s="102"/>
    </row>
    <row r="2" spans="1:11" ht="13.2" x14ac:dyDescent="0.3">
      <c r="A2" s="49" t="s">
        <v>17</v>
      </c>
      <c r="B2" s="103" t="s">
        <v>32</v>
      </c>
      <c r="C2" s="103"/>
      <c r="D2" s="103"/>
      <c r="E2" s="103"/>
      <c r="F2" s="103"/>
      <c r="G2" s="103"/>
      <c r="H2" s="103"/>
      <c r="I2" s="104"/>
    </row>
    <row r="3" spans="1:11" ht="13.2" x14ac:dyDescent="0.3">
      <c r="A3" s="49" t="s">
        <v>18</v>
      </c>
      <c r="B3" s="103" t="s">
        <v>33</v>
      </c>
      <c r="C3" s="103"/>
      <c r="D3" s="103"/>
      <c r="E3" s="103"/>
      <c r="F3" s="103"/>
      <c r="G3" s="103"/>
      <c r="H3" s="103"/>
      <c r="I3" s="104"/>
    </row>
    <row r="4" spans="1:11" ht="13.2" x14ac:dyDescent="0.3">
      <c r="A4" s="49" t="s">
        <v>19</v>
      </c>
      <c r="B4" s="103" t="s">
        <v>34</v>
      </c>
      <c r="C4" s="103"/>
      <c r="D4" s="103"/>
      <c r="E4" s="103"/>
      <c r="F4" s="103"/>
      <c r="G4" s="103"/>
      <c r="H4" s="103"/>
      <c r="I4" s="104"/>
    </row>
    <row r="5" spans="1:11" ht="13.2" x14ac:dyDescent="0.3">
      <c r="A5" s="49" t="s">
        <v>20</v>
      </c>
      <c r="B5" s="103" t="s">
        <v>35</v>
      </c>
      <c r="C5" s="103"/>
      <c r="D5" s="103"/>
      <c r="E5" s="103"/>
      <c r="F5" s="103"/>
      <c r="G5" s="103"/>
      <c r="H5" s="103"/>
      <c r="I5" s="104"/>
    </row>
    <row r="6" spans="1:11" ht="13.2" x14ac:dyDescent="0.3">
      <c r="A6" s="51" t="s">
        <v>21</v>
      </c>
      <c r="B6" s="99" t="s">
        <v>30</v>
      </c>
      <c r="C6" s="99"/>
      <c r="D6" s="99"/>
      <c r="E6" s="99"/>
      <c r="F6" s="99"/>
      <c r="G6" s="99"/>
      <c r="H6" s="99"/>
      <c r="I6" s="100"/>
    </row>
    <row r="7" spans="1:11" ht="13.2" x14ac:dyDescent="0.3">
      <c r="A7" s="52" t="s">
        <v>22</v>
      </c>
      <c r="B7" s="53" t="s">
        <v>23</v>
      </c>
      <c r="C7" s="54" t="s">
        <v>24</v>
      </c>
      <c r="D7" s="54" t="s">
        <v>25</v>
      </c>
      <c r="E7" s="55" t="s">
        <v>26</v>
      </c>
      <c r="F7" s="55" t="s">
        <v>27</v>
      </c>
      <c r="G7" s="55" t="s">
        <v>28</v>
      </c>
      <c r="H7" s="56" t="s">
        <v>29</v>
      </c>
      <c r="I7" s="57"/>
    </row>
    <row r="8" spans="1:11" s="62" customFormat="1" ht="203.4" thickBot="1" x14ac:dyDescent="0.35">
      <c r="A8" s="58" t="s">
        <v>36</v>
      </c>
      <c r="B8" s="3">
        <v>1</v>
      </c>
      <c r="C8" s="59" t="s">
        <v>4</v>
      </c>
      <c r="D8" s="60">
        <v>1</v>
      </c>
      <c r="E8" s="61">
        <v>1</v>
      </c>
      <c r="F8" s="61"/>
      <c r="G8" s="61"/>
      <c r="H8" s="33">
        <f>D8*E8*F8*G8</f>
        <v>0</v>
      </c>
      <c r="I8" s="34"/>
      <c r="K8" s="63"/>
    </row>
    <row r="9" spans="1:11" s="62" customFormat="1" ht="45" thickBot="1" x14ac:dyDescent="0.35">
      <c r="A9" s="58" t="s">
        <v>36</v>
      </c>
      <c r="B9" s="4">
        <v>2</v>
      </c>
      <c r="C9" s="1" t="s">
        <v>5</v>
      </c>
      <c r="D9" s="60">
        <v>1</v>
      </c>
      <c r="E9" s="61">
        <v>1</v>
      </c>
      <c r="F9" s="61"/>
      <c r="G9" s="61"/>
      <c r="H9" s="33"/>
      <c r="I9" s="34"/>
      <c r="K9" s="63"/>
    </row>
    <row r="10" spans="1:11" s="62" customFormat="1" ht="44.4" x14ac:dyDescent="0.3">
      <c r="A10" s="58" t="s">
        <v>36</v>
      </c>
      <c r="B10" s="64">
        <v>3</v>
      </c>
      <c r="C10" s="65" t="s">
        <v>7</v>
      </c>
      <c r="D10" s="60">
        <v>1</v>
      </c>
      <c r="E10" s="61">
        <v>1</v>
      </c>
      <c r="F10" s="61"/>
      <c r="G10" s="61"/>
      <c r="H10" s="33"/>
      <c r="I10" s="34"/>
      <c r="K10" s="63"/>
    </row>
    <row r="11" spans="1:11" x14ac:dyDescent="0.25">
      <c r="A11" s="68"/>
      <c r="B11" s="69"/>
      <c r="C11" s="70"/>
      <c r="D11" s="71"/>
      <c r="E11" s="61"/>
      <c r="F11" s="61"/>
      <c r="G11" s="61"/>
      <c r="H11" s="66"/>
      <c r="I11" s="67"/>
    </row>
    <row r="12" spans="1:11" x14ac:dyDescent="0.25">
      <c r="A12" s="68"/>
      <c r="B12" s="69"/>
      <c r="C12" s="70"/>
      <c r="D12" s="71"/>
      <c r="E12" s="61"/>
      <c r="F12" s="61"/>
      <c r="G12" s="61"/>
      <c r="H12" s="66"/>
      <c r="I12" s="67"/>
    </row>
    <row r="13" spans="1:11" x14ac:dyDescent="0.25">
      <c r="A13" s="68"/>
      <c r="B13" s="69"/>
      <c r="C13" s="70"/>
      <c r="D13" s="71"/>
      <c r="E13" s="61"/>
      <c r="F13" s="61"/>
      <c r="G13" s="61"/>
      <c r="H13" s="66"/>
      <c r="I13" s="67"/>
    </row>
    <row r="14" spans="1:11" ht="14.4" x14ac:dyDescent="0.25">
      <c r="A14" s="68"/>
      <c r="B14" s="69"/>
      <c r="C14" s="70"/>
      <c r="D14" s="71"/>
      <c r="E14" s="61"/>
      <c r="F14" s="61"/>
      <c r="G14" s="61"/>
      <c r="H14" s="33"/>
      <c r="I14" s="34"/>
    </row>
    <row r="15" spans="1:11" ht="14.4" x14ac:dyDescent="0.25">
      <c r="A15" s="58"/>
      <c r="B15" s="72"/>
      <c r="C15" s="70"/>
      <c r="D15" s="71"/>
      <c r="E15" s="61"/>
      <c r="F15" s="61"/>
      <c r="G15" s="61"/>
      <c r="H15" s="33"/>
      <c r="I15" s="34"/>
    </row>
    <row r="16" spans="1:11" ht="14.4" x14ac:dyDescent="0.25">
      <c r="A16" s="73"/>
      <c r="B16" s="72"/>
      <c r="C16" s="70"/>
      <c r="D16" s="71"/>
      <c r="E16" s="61"/>
      <c r="F16" s="61"/>
      <c r="G16" s="61"/>
      <c r="H16" s="33"/>
      <c r="I16" s="34"/>
    </row>
    <row r="17" spans="1:9" ht="14.4" x14ac:dyDescent="0.25">
      <c r="A17" s="73"/>
      <c r="B17" s="72"/>
      <c r="C17" s="70"/>
      <c r="D17" s="71"/>
      <c r="E17" s="61"/>
      <c r="F17" s="61"/>
      <c r="G17" s="61"/>
      <c r="H17" s="33"/>
      <c r="I17" s="34"/>
    </row>
    <row r="18" spans="1:9" ht="14.4" x14ac:dyDescent="0.25">
      <c r="A18" s="73"/>
      <c r="B18" s="72"/>
      <c r="C18" s="70"/>
      <c r="D18" s="42"/>
      <c r="E18" s="33"/>
      <c r="F18" s="33"/>
      <c r="G18" s="33"/>
      <c r="H18" s="66"/>
      <c r="I18" s="67"/>
    </row>
    <row r="19" spans="1:9" x14ac:dyDescent="0.25">
      <c r="A19" s="68"/>
      <c r="B19" s="69"/>
      <c r="C19" s="70"/>
      <c r="D19" s="71"/>
      <c r="E19" s="61"/>
      <c r="F19" s="61"/>
      <c r="G19" s="61"/>
      <c r="H19" s="66"/>
      <c r="I19" s="67"/>
    </row>
    <row r="20" spans="1:9" x14ac:dyDescent="0.25">
      <c r="A20" s="68"/>
      <c r="B20" s="69"/>
      <c r="C20" s="70"/>
      <c r="D20" s="71"/>
      <c r="E20" s="61"/>
      <c r="F20" s="61"/>
      <c r="G20" s="61"/>
      <c r="H20" s="66"/>
      <c r="I20" s="67"/>
    </row>
    <row r="21" spans="1:9" x14ac:dyDescent="0.25">
      <c r="A21" s="68"/>
      <c r="B21" s="69"/>
      <c r="C21" s="70"/>
      <c r="D21" s="71"/>
      <c r="E21" s="61"/>
      <c r="F21" s="61"/>
      <c r="G21" s="61"/>
      <c r="H21" s="66"/>
      <c r="I21" s="67"/>
    </row>
    <row r="22" spans="1:9" x14ac:dyDescent="0.25">
      <c r="A22" s="68"/>
      <c r="B22" s="69"/>
      <c r="C22" s="70"/>
      <c r="D22" s="71"/>
      <c r="E22" s="61"/>
      <c r="F22" s="61"/>
      <c r="G22" s="61"/>
      <c r="H22" s="66"/>
      <c r="I22" s="67"/>
    </row>
    <row r="23" spans="1:9" x14ac:dyDescent="0.25">
      <c r="A23" s="68"/>
      <c r="B23" s="69"/>
      <c r="C23" s="70"/>
    </row>
  </sheetData>
  <mergeCells count="6">
    <mergeCell ref="B6:I6"/>
    <mergeCell ref="B1:I1"/>
    <mergeCell ref="B2:I2"/>
    <mergeCell ref="B3:I3"/>
    <mergeCell ref="B4:I4"/>
    <mergeCell ref="B5:I5"/>
  </mergeCells>
  <conditionalFormatting sqref="F9:H10 D8:H8 B15:C18 D14:H17 B8:C10 D9:D10 E11:F13 C11:C14">
    <cfRule type="cellIs" dxfId="12" priority="18" operator="equal">
      <formula>0</formula>
    </cfRule>
  </conditionalFormatting>
  <conditionalFormatting sqref="A8">
    <cfRule type="cellIs" dxfId="11" priority="17" stopIfTrue="1" operator="equal">
      <formula>0</formula>
    </cfRule>
  </conditionalFormatting>
  <conditionalFormatting sqref="A15">
    <cfRule type="cellIs" dxfId="10" priority="16" stopIfTrue="1" operator="equal">
      <formula>0</formula>
    </cfRule>
  </conditionalFormatting>
  <conditionalFormatting sqref="C19:C23">
    <cfRule type="cellIs" dxfId="9" priority="15" operator="equal">
      <formula>0</formula>
    </cfRule>
  </conditionalFormatting>
  <conditionalFormatting sqref="E19:F22">
    <cfRule type="cellIs" dxfId="8" priority="14" operator="equal">
      <formula>0</formula>
    </cfRule>
  </conditionalFormatting>
  <conditionalFormatting sqref="D18:G18">
    <cfRule type="cellIs" dxfId="7" priority="13" operator="equal">
      <formula>0</formula>
    </cfRule>
  </conditionalFormatting>
  <conditionalFormatting sqref="E10">
    <cfRule type="cellIs" dxfId="6" priority="7" operator="equal">
      <formula>0</formula>
    </cfRule>
  </conditionalFormatting>
  <conditionalFormatting sqref="E9">
    <cfRule type="cellIs" dxfId="5" priority="6" operator="equal">
      <formula>0</formula>
    </cfRule>
  </conditionalFormatting>
  <conditionalFormatting sqref="A9">
    <cfRule type="cellIs" dxfId="4" priority="5" stopIfTrue="1" operator="equal">
      <formula>0</formula>
    </cfRule>
  </conditionalFormatting>
  <conditionalFormatting sqref="A10">
    <cfRule type="cellIs" dxfId="3" priority="4" stopIfTrue="1" operat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5"/>
  <sheetViews>
    <sheetView workbookViewId="0">
      <selection activeCell="O14" sqref="O14"/>
    </sheetView>
  </sheetViews>
  <sheetFormatPr defaultRowHeight="14.4" x14ac:dyDescent="0.3"/>
  <sheetData>
    <row r="1" spans="1:9" s="50" customFormat="1" ht="13.2" x14ac:dyDescent="0.3">
      <c r="A1" s="49" t="s">
        <v>16</v>
      </c>
      <c r="B1" s="101" t="s">
        <v>31</v>
      </c>
      <c r="C1" s="101"/>
      <c r="D1" s="101"/>
      <c r="E1" s="101"/>
      <c r="F1" s="101"/>
      <c r="G1" s="101"/>
      <c r="H1" s="101"/>
      <c r="I1" s="102"/>
    </row>
    <row r="2" spans="1:9" s="50" customFormat="1" ht="13.2" x14ac:dyDescent="0.3">
      <c r="A2" s="49" t="s">
        <v>17</v>
      </c>
      <c r="B2" s="103" t="s">
        <v>32</v>
      </c>
      <c r="C2" s="103"/>
      <c r="D2" s="103"/>
      <c r="E2" s="103"/>
      <c r="F2" s="103"/>
      <c r="G2" s="103"/>
      <c r="H2" s="103"/>
      <c r="I2" s="104"/>
    </row>
    <row r="3" spans="1:9" s="50" customFormat="1" ht="13.2" x14ac:dyDescent="0.3">
      <c r="A3" s="49" t="s">
        <v>18</v>
      </c>
      <c r="B3" s="103" t="s">
        <v>33</v>
      </c>
      <c r="C3" s="103"/>
      <c r="D3" s="103"/>
      <c r="E3" s="103"/>
      <c r="F3" s="103"/>
      <c r="G3" s="103"/>
      <c r="H3" s="103"/>
      <c r="I3" s="104"/>
    </row>
    <row r="4" spans="1:9" s="50" customFormat="1" ht="13.2" x14ac:dyDescent="0.3">
      <c r="A4" s="49" t="s">
        <v>19</v>
      </c>
      <c r="B4" s="103" t="s">
        <v>34</v>
      </c>
      <c r="C4" s="103"/>
      <c r="D4" s="103"/>
      <c r="E4" s="103"/>
      <c r="F4" s="103"/>
      <c r="G4" s="103"/>
      <c r="H4" s="103"/>
      <c r="I4" s="104"/>
    </row>
    <row r="5" spans="1:9" s="50" customFormat="1" ht="13.2" x14ac:dyDescent="0.3">
      <c r="A5" s="49" t="s">
        <v>20</v>
      </c>
      <c r="B5" s="103" t="s">
        <v>35</v>
      </c>
      <c r="C5" s="103"/>
      <c r="D5" s="103"/>
      <c r="E5" s="103"/>
      <c r="F5" s="103"/>
      <c r="G5" s="103"/>
      <c r="H5" s="103"/>
      <c r="I5" s="104"/>
    </row>
    <row r="6" spans="1:9" s="50" customFormat="1" ht="13.2" x14ac:dyDescent="0.3">
      <c r="A6" s="51" t="s">
        <v>21</v>
      </c>
      <c r="B6" s="99">
        <v>3</v>
      </c>
      <c r="C6" s="99"/>
      <c r="D6" s="99"/>
      <c r="E6" s="99"/>
      <c r="F6" s="99"/>
      <c r="G6" s="99"/>
      <c r="H6" s="99"/>
      <c r="I6" s="100"/>
    </row>
    <row r="7" spans="1:9" ht="39.6" x14ac:dyDescent="0.3">
      <c r="A7" s="80" t="s">
        <v>22</v>
      </c>
      <c r="B7" s="81" t="s">
        <v>41</v>
      </c>
      <c r="C7" s="82" t="s">
        <v>42</v>
      </c>
      <c r="D7" s="83" t="s">
        <v>43</v>
      </c>
      <c r="E7" s="84" t="s">
        <v>44</v>
      </c>
      <c r="F7" s="83" t="s">
        <v>45</v>
      </c>
      <c r="G7" s="85" t="s">
        <v>46</v>
      </c>
    </row>
    <row r="8" spans="1:9" ht="15.6" x14ac:dyDescent="0.3">
      <c r="A8" s="86" t="s">
        <v>47</v>
      </c>
      <c r="B8" s="87">
        <v>3</v>
      </c>
      <c r="C8" s="88" t="s">
        <v>48</v>
      </c>
      <c r="D8" s="89">
        <v>20</v>
      </c>
      <c r="E8" s="89">
        <v>1</v>
      </c>
      <c r="F8" s="89">
        <v>1</v>
      </c>
      <c r="G8" s="90">
        <v>5</v>
      </c>
    </row>
    <row r="9" spans="1:9" ht="15.6" x14ac:dyDescent="0.3">
      <c r="A9" s="86"/>
      <c r="B9" s="91"/>
      <c r="C9" s="88" t="s">
        <v>49</v>
      </c>
      <c r="D9" s="89">
        <v>20</v>
      </c>
      <c r="E9" s="89">
        <v>1</v>
      </c>
      <c r="F9" s="89">
        <v>1</v>
      </c>
      <c r="G9" s="90">
        <v>6</v>
      </c>
    </row>
    <row r="10" spans="1:9" ht="15.6" x14ac:dyDescent="0.3">
      <c r="A10" s="86"/>
      <c r="B10" s="92"/>
      <c r="C10" s="88" t="s">
        <v>48</v>
      </c>
      <c r="D10" s="89">
        <v>20</v>
      </c>
      <c r="E10" s="89">
        <v>1</v>
      </c>
      <c r="F10" s="89">
        <v>1</v>
      </c>
      <c r="G10" s="90">
        <v>7</v>
      </c>
    </row>
    <row r="11" spans="1:9" ht="15.6" x14ac:dyDescent="0.3">
      <c r="A11" s="86" t="s">
        <v>50</v>
      </c>
      <c r="B11" s="87">
        <v>3</v>
      </c>
      <c r="C11" s="88" t="s">
        <v>48</v>
      </c>
      <c r="D11" s="89">
        <v>20</v>
      </c>
      <c r="E11" s="89">
        <v>1</v>
      </c>
      <c r="F11" s="89">
        <v>1</v>
      </c>
      <c r="G11" s="90">
        <v>5</v>
      </c>
    </row>
    <row r="12" spans="1:9" ht="15.6" x14ac:dyDescent="0.3">
      <c r="A12" s="86"/>
      <c r="B12" s="91"/>
      <c r="C12" s="88" t="s">
        <v>49</v>
      </c>
      <c r="D12" s="89">
        <v>20</v>
      </c>
      <c r="E12" s="89">
        <v>1</v>
      </c>
      <c r="F12" s="89">
        <v>1</v>
      </c>
      <c r="G12" s="90">
        <v>6</v>
      </c>
    </row>
    <row r="13" spans="1:9" ht="15.6" x14ac:dyDescent="0.3">
      <c r="A13" s="86"/>
      <c r="B13" s="92"/>
      <c r="C13" s="88" t="s">
        <v>48</v>
      </c>
      <c r="D13" s="89">
        <v>20</v>
      </c>
      <c r="E13" s="89">
        <v>1</v>
      </c>
      <c r="F13" s="89">
        <v>1</v>
      </c>
      <c r="G13" s="90">
        <v>7</v>
      </c>
    </row>
    <row r="15" spans="1:9" x14ac:dyDescent="0.3">
      <c r="H15" t="s">
        <v>51</v>
      </c>
    </row>
  </sheetData>
  <mergeCells count="6">
    <mergeCell ref="B5:I5"/>
    <mergeCell ref="B6:I6"/>
    <mergeCell ref="B1:I1"/>
    <mergeCell ref="B2:I2"/>
    <mergeCell ref="B3:I3"/>
    <mergeCell ref="B4:I4"/>
  </mergeCells>
  <conditionalFormatting sqref="C8:C13">
    <cfRule type="cellIs" dxfId="2" priority="3" operator="equal">
      <formula>0</formula>
    </cfRule>
  </conditionalFormatting>
  <conditionalFormatting sqref="C8:G10">
    <cfRule type="cellIs" dxfId="1" priority="2" operator="between">
      <formula>0</formula>
      <formula>0</formula>
    </cfRule>
  </conditionalFormatting>
  <conditionalFormatting sqref="C11:G13">
    <cfRule type="cellIs" dxfId="0" priority="1" operator="between">
      <formula>0</formula>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LTECH</vt:lpstr>
      <vt:lpstr>DEPT</vt:lpstr>
      <vt:lpstr>A</vt:lpstr>
      <vt:lpstr>B</vt:lpstr>
      <vt:lpstr>C</vt:lpstr>
      <vt:lpstr>SOQ</vt:lpstr>
      <vt:lpstr>SOQGEN</vt:lpstr>
      <vt:lpstr>SOQSTEEL</vt:lpstr>
      <vt:lpstr>SOQ!Print_Area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2023-04-19T05:48:06Z</dcterms:modified>
</cp:coreProperties>
</file>